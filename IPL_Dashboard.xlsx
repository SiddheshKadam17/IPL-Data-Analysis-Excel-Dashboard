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drawings/drawing7.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defaultThemeVersion="166925"/>
  <mc:AlternateContent xmlns:mc="http://schemas.openxmlformats.org/markup-compatibility/2006">
    <mc:Choice Requires="x15">
      <x15ac:absPath xmlns:x15ac="http://schemas.microsoft.com/office/spreadsheetml/2010/11/ac" url="C:\Users\ASUS\Desktop\EXCEL\Project\"/>
    </mc:Choice>
  </mc:AlternateContent>
  <xr:revisionPtr revIDLastSave="0" documentId="13_ncr:1_{C217BCB0-2B62-49CD-AB03-E93DC29E999A}" xr6:coauthVersionLast="47" xr6:coauthVersionMax="47" xr10:uidLastSave="{00000000-0000-0000-0000-000000000000}"/>
  <bookViews>
    <workbookView xWindow="-108" yWindow="-108" windowWidth="23256" windowHeight="12456" firstSheet="2" activeTab="7" xr2:uid="{00000000-000D-0000-FFFF-FFFF00000000}"/>
  </bookViews>
  <sheets>
    <sheet name="IPL_Data" sheetId="1" r:id="rId1"/>
    <sheet name="match played" sheetId="12" r:id="rId2"/>
    <sheet name="6's" sheetId="11" r:id="rId3"/>
    <sheet name="national side" sheetId="9" r:id="rId4"/>
    <sheet name="top 7 wicket taker" sheetId="6" r:id="rId5"/>
    <sheet name="top 7 run getter" sheetId="4" r:id="rId6"/>
    <sheet name="KPI" sheetId="2" r:id="rId7"/>
    <sheet name="Dashboard" sheetId="3" r:id="rId8"/>
  </sheets>
  <definedNames>
    <definedName name="_xlchart.v1.0" hidden="1">'6''s'!$D$4:$D$13</definedName>
    <definedName name="_xlchart.v1.1" hidden="1">'6''s'!$E$3</definedName>
    <definedName name="_xlchart.v1.2" hidden="1">'6''s'!$E$4:$E$13</definedName>
    <definedName name="Slicer_Team">#N/A</definedName>
  </definedNames>
  <calcPr calcId="191029"/>
  <pivotCaches>
    <pivotCache cacheId="1"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2" i="2" l="1"/>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27" i="2"/>
  <c r="D28" i="2"/>
  <c r="D29" i="2"/>
  <c r="D30" i="2"/>
  <c r="D31" i="2"/>
  <c r="D20" i="2"/>
  <c r="D21" i="2"/>
  <c r="D22" i="2"/>
  <c r="D23" i="2"/>
  <c r="D24" i="2"/>
  <c r="D25" i="2"/>
  <c r="D26" i="2"/>
  <c r="D19" i="2"/>
  <c r="K4" i="2"/>
  <c r="K5" i="2"/>
  <c r="K6" i="2"/>
  <c r="K7" i="2"/>
  <c r="K8" i="2"/>
  <c r="K9" i="2"/>
  <c r="K10" i="2"/>
  <c r="K11" i="2"/>
  <c r="K12" i="2"/>
  <c r="K3" i="2"/>
  <c r="C4" i="2"/>
  <c r="C5" i="2"/>
  <c r="C6" i="2"/>
  <c r="C7" i="2"/>
  <c r="C8" i="2"/>
  <c r="C9" i="2"/>
  <c r="C10" i="2"/>
  <c r="C11" i="2"/>
  <c r="C12" i="2"/>
  <c r="C3" i="2"/>
  <c r="E47" i="2"/>
  <c r="E25" i="2"/>
  <c r="E42" i="2"/>
  <c r="E46" i="2"/>
  <c r="E20" i="2"/>
  <c r="L5" i="2"/>
  <c r="E37" i="2"/>
  <c r="L11" i="2"/>
  <c r="E21" i="2"/>
  <c r="E38" i="2"/>
  <c r="E56" i="2"/>
  <c r="L10" i="2"/>
  <c r="E41" i="2"/>
  <c r="E23" i="2"/>
  <c r="E68" i="2"/>
  <c r="E31" i="2"/>
  <c r="E33" i="2"/>
  <c r="E43" i="2"/>
  <c r="E45" i="2"/>
  <c r="E32" i="2"/>
  <c r="L9" i="2"/>
  <c r="E60" i="2"/>
  <c r="E61" i="2"/>
  <c r="E57" i="2"/>
  <c r="E65" i="2"/>
  <c r="E40" i="2"/>
  <c r="E62" i="2"/>
  <c r="E52" i="2"/>
  <c r="E48" i="2"/>
  <c r="E55" i="2"/>
  <c r="E30" i="2"/>
  <c r="E36" i="2"/>
  <c r="L7" i="2"/>
  <c r="E28" i="2"/>
  <c r="E63" i="2"/>
  <c r="E58" i="2"/>
  <c r="E35" i="2"/>
  <c r="E51" i="2"/>
  <c r="E66" i="2"/>
  <c r="E50" i="2"/>
  <c r="E22" i="2"/>
  <c r="L8" i="2"/>
  <c r="E26" i="2"/>
  <c r="E53" i="2"/>
  <c r="L12" i="2"/>
  <c r="L6" i="2"/>
  <c r="E27" i="2"/>
  <c r="E67" i="2"/>
  <c r="L4" i="2"/>
  <c r="L3" i="2"/>
</calcChain>
</file>

<file path=xl/sharedStrings.xml><?xml version="1.0" encoding="utf-8"?>
<sst xmlns="http://schemas.openxmlformats.org/spreadsheetml/2006/main" count="2793" uniqueCount="1424">
  <si>
    <t>Name</t>
  </si>
  <si>
    <t>Team</t>
  </si>
  <si>
    <t>Url</t>
  </si>
  <si>
    <t>Type</t>
  </si>
  <si>
    <t>ValueinCR</t>
  </si>
  <si>
    <t>Full Name</t>
  </si>
  <si>
    <t>Born</t>
  </si>
  <si>
    <t>Age</t>
  </si>
  <si>
    <t>National Side</t>
  </si>
  <si>
    <t>Batting Style</t>
  </si>
  <si>
    <t>Bowling</t>
  </si>
  <si>
    <t>Sport</t>
  </si>
  <si>
    <t>MatchPlayed</t>
  </si>
  <si>
    <t>InningsBatted</t>
  </si>
  <si>
    <t>NotOuts</t>
  </si>
  <si>
    <t>RunsScored</t>
  </si>
  <si>
    <t>HighestInnScore</t>
  </si>
  <si>
    <t>100s</t>
  </si>
  <si>
    <t>50s</t>
  </si>
  <si>
    <t>4s</t>
  </si>
  <si>
    <t>6s</t>
  </si>
  <si>
    <t>BattingAVG</t>
  </si>
  <si>
    <t>BattingS/R</t>
  </si>
  <si>
    <t>CatchesTaken</t>
  </si>
  <si>
    <t>StumpingsMade</t>
  </si>
  <si>
    <t>Ducks</t>
  </si>
  <si>
    <t>R/O</t>
  </si>
  <si>
    <t>InningsBowled</t>
  </si>
  <si>
    <t>Overs</t>
  </si>
  <si>
    <t>Maidens</t>
  </si>
  <si>
    <t>RunsConceded</t>
  </si>
  <si>
    <t>Wickets</t>
  </si>
  <si>
    <t>Best</t>
  </si>
  <si>
    <t>3s</t>
  </si>
  <si>
    <t>5s</t>
  </si>
  <si>
    <t>BowlingAVG</t>
  </si>
  <si>
    <t>EconomyRate</t>
  </si>
  <si>
    <t>S/R</t>
  </si>
  <si>
    <t>Mtc</t>
  </si>
  <si>
    <t>Mayank Agarwal</t>
  </si>
  <si>
    <t>PBKS</t>
  </si>
  <si>
    <t>https://sports.ndtv.com/cricket/players/1430-mayank-agarwal-playerprofile</t>
  </si>
  <si>
    <t xml:space="preserve">Batsman </t>
  </si>
  <si>
    <t>Mayank Anurag Agarwal</t>
  </si>
  <si>
    <t>February 16, 1991 Bangalore, Karnataka</t>
  </si>
  <si>
    <t>31 Years, 0 Months, 28 Days</t>
  </si>
  <si>
    <t>India</t>
  </si>
  <si>
    <t>Right Handed</t>
  </si>
  <si>
    <t>Off break</t>
  </si>
  <si>
    <t>106 v RR</t>
  </si>
  <si>
    <t>Liam Livingstone</t>
  </si>
  <si>
    <t>https://sports.ndtv.com/cricket/players/64363-liam-stephen-livingstone-playerprofile</t>
  </si>
  <si>
    <t xml:space="preserve">All-Rounder </t>
  </si>
  <si>
    <t>Liam Stephen Livingstone</t>
  </si>
  <si>
    <t>August 4, 1993 Barrow-in-Furness, Cumberland</t>
  </si>
  <si>
    <t>28 Years, 7 Months, 11 Days</t>
  </si>
  <si>
    <t>England</t>
  </si>
  <si>
    <t>Leg break</t>
  </si>
  <si>
    <t>IPL</t>
  </si>
  <si>
    <t>44 v SRH</t>
  </si>
  <si>
    <t>0/13 v MI</t>
  </si>
  <si>
    <t>Kagiso Rabada</t>
  </si>
  <si>
    <t>https://sports.ndtv.com/cricket/players/64042-kagiso-rabada-playerprofile</t>
  </si>
  <si>
    <t xml:space="preserve">Bowler </t>
  </si>
  <si>
    <t>May 25, 1995 Johannesburg</t>
  </si>
  <si>
    <t>26 Years, 9 Months, 22 Days</t>
  </si>
  <si>
    <t>South Africa</t>
  </si>
  <si>
    <t>Left Handed</t>
  </si>
  <si>
    <t>Right-arm fast</t>
  </si>
  <si>
    <t>44 v MI</t>
  </si>
  <si>
    <t>4/21 v RCB</t>
  </si>
  <si>
    <t>Shahrukh Khan</t>
  </si>
  <si>
    <t>https://sports.ndtv.com/cricket/players/113433-shahrukh-khan-playerprofile</t>
  </si>
  <si>
    <t>Masood Shahrukh Khan</t>
  </si>
  <si>
    <t>May 27, 1995 Chennai, Tamil Nadu</t>
  </si>
  <si>
    <t>26 Years, 9 Months, 20 Days</t>
  </si>
  <si>
    <t>47 v CSK</t>
  </si>
  <si>
    <t>Shikhar Dhawan</t>
  </si>
  <si>
    <t>https://sports.ndtv.com/cricket/players/737-shikhar-dhawan-playerprofile</t>
  </si>
  <si>
    <t>December 5, 1985 Delhi</t>
  </si>
  <si>
    <t>36 Years, 3 Months, 10 Days</t>
  </si>
  <si>
    <t>106* v PBKS</t>
  </si>
  <si>
    <t>1/7 v DC</t>
  </si>
  <si>
    <t>Jonny Bairstow</t>
  </si>
  <si>
    <t>https://sports.ndtv.com/cricket/players/1551-jonny-bairstow-playerprofile</t>
  </si>
  <si>
    <t xml:space="preserve">Wicket-Keeper </t>
  </si>
  <si>
    <t>Jonathan Marc Bairstow</t>
  </si>
  <si>
    <t>September 26, 1989 Bradford, Yorkshire</t>
  </si>
  <si>
    <t>32 Years, 5 Months, 19 Days</t>
  </si>
  <si>
    <t>Right-arm medium</t>
  </si>
  <si>
    <t>114 v RCB</t>
  </si>
  <si>
    <t>Odean Smith</t>
  </si>
  <si>
    <t>https://sports.ndtv.com/cricket/players/108548-odean-smith-playerprofile</t>
  </si>
  <si>
    <t>Odean Fabian Smith</t>
  </si>
  <si>
    <t>November 1, 1996 St. Elizabeth, Jamaica</t>
  </si>
  <si>
    <t>25 Years, 4 Months, 14 Days</t>
  </si>
  <si>
    <t>West Indies</t>
  </si>
  <si>
    <t>Rahul Chahar</t>
  </si>
  <si>
    <t>https://sports.ndtv.com/cricket/players/107512-rahul-chahar-playerprofile</t>
  </si>
  <si>
    <t>Rahul Desraj Chahar</t>
  </si>
  <si>
    <t>August 4, 1999 Bharaatpur, Rajasthan</t>
  </si>
  <si>
    <t>22 Years, 7 Months, 12 Days</t>
  </si>
  <si>
    <t>Leg break googly</t>
  </si>
  <si>
    <t>10 v SRH</t>
  </si>
  <si>
    <t>4/27 v KKR</t>
  </si>
  <si>
    <t>Arshdeep Singh</t>
  </si>
  <si>
    <t>https://sports.ndtv.com/cricket/players/108557-arshdeep-singh-playerprofile</t>
  </si>
  <si>
    <t>February 5, 1999 Guna, Madhya Pradesh</t>
  </si>
  <si>
    <t>23 Years, 1 Months, 8 Days</t>
  </si>
  <si>
    <t>Left-arm medium fast</t>
  </si>
  <si>
    <t>1* v KKR</t>
  </si>
  <si>
    <t>5/32 v RR</t>
  </si>
  <si>
    <t>Harpreet Brar</t>
  </si>
  <si>
    <t>https://sports.ndtv.com/cricket/players/110975-harpreet-brar-playerprofile</t>
  </si>
  <si>
    <t>September 16, 1995 Moga, Punjab</t>
  </si>
  <si>
    <t>26 Years, 6 Months, 0 Days</t>
  </si>
  <si>
    <t>Slow left-arm orthodox</t>
  </si>
  <si>
    <t>25* v RCB</t>
  </si>
  <si>
    <t>3/19 v RCB</t>
  </si>
  <si>
    <t>Vaibhav Arora</t>
  </si>
  <si>
    <t>https://sports.ndtv.com/cricket/players/113442-vaibhav-arora-playerprofile</t>
  </si>
  <si>
    <t>Vaibhav Gopal Arora</t>
  </si>
  <si>
    <t>December 14, 1997 Himachal Pradesh</t>
  </si>
  <si>
    <t>24 Years, 3 Months, 1 Days</t>
  </si>
  <si>
    <t>Right-arm fast medium</t>
  </si>
  <si>
    <t>Raj Bawa</t>
  </si>
  <si>
    <t>https://sports.ndtv.com/cricket/players/114984-raj-angad-bawa-playerprofile</t>
  </si>
  <si>
    <t>Raj Angad Bawa</t>
  </si>
  <si>
    <t>November 12, 2002 Nahan, Himachal Pradesh</t>
  </si>
  <si>
    <t>19 Years, 4 Months, 3 Days</t>
  </si>
  <si>
    <t>Right-arm medium fast</t>
  </si>
  <si>
    <t>Nathan Ellis</t>
  </si>
  <si>
    <t>https://sports.ndtv.com/cricket/players/113454-nathan-ellis-playerprofile</t>
  </si>
  <si>
    <t>September 22, 1994 Greenacre, New South Wales</t>
  </si>
  <si>
    <t>27 Years, 5 Months, 23 Days</t>
  </si>
  <si>
    <t>Australia</t>
  </si>
  <si>
    <t>12 v SRH</t>
  </si>
  <si>
    <t>1/12 v MI</t>
  </si>
  <si>
    <t>Prabhsimran Singh</t>
  </si>
  <si>
    <t>https://sports.ndtv.com/cricket/players/110976-simran-singh-playerprofile</t>
  </si>
  <si>
    <t>21 Years, 7 Months, 5 Days</t>
  </si>
  <si>
    <t>16 v SRH</t>
  </si>
  <si>
    <t>Rishi Dhawan</t>
  </si>
  <si>
    <t>https://sports.ndtv.com/cricket/players/1131-rishi-dhawan-playerprofile</t>
  </si>
  <si>
    <t>February 19, 1990 Mandi, Himachal Pradesh</t>
  </si>
  <si>
    <t>32 Years, 0 Months, 24 Days</t>
  </si>
  <si>
    <t>25* v CSK</t>
  </si>
  <si>
    <t>2/14 v RCB</t>
  </si>
  <si>
    <t>Bhanuka Rajapaksa</t>
  </si>
  <si>
    <t>https://sports.ndtv.com/cricket/players/43735-pramod-bhanuka-bandara-rajapaksa-playerprofile</t>
  </si>
  <si>
    <t>Pramod Bhanuka Bandara Rajapaksa</t>
  </si>
  <si>
    <t>30 Years, 4 Months, 23 Days</t>
  </si>
  <si>
    <t>Sri Lanka</t>
  </si>
  <si>
    <t>Cricket</t>
  </si>
  <si>
    <t>Sandeep Sharma</t>
  </si>
  <si>
    <t>https://sports.ndtv.com/cricket/players/1431-sandeep-sharma-playerprofile</t>
  </si>
  <si>
    <t>May 18, 1993 Patiala, Punjab</t>
  </si>
  <si>
    <t>28 Years, 9 Months, 28 Days</t>
  </si>
  <si>
    <t>9 v RCB</t>
  </si>
  <si>
    <t>4/20 v DC</t>
  </si>
  <si>
    <t>Benny Howell</t>
  </si>
  <si>
    <t>https://sports.ndtv.com/cricket/players/45414-benny-alexander-cameron-howell-playerprofile</t>
  </si>
  <si>
    <t>Benny Alexander Cameron Howell</t>
  </si>
  <si>
    <t>33 Years, 5 Months, 10 Days</t>
  </si>
  <si>
    <t>Ishan Porel</t>
  </si>
  <si>
    <t>https://sports.ndtv.com/cricket/players/108572-ishan-porel-playerprofile</t>
  </si>
  <si>
    <t>Ishan Chandranath Porel</t>
  </si>
  <si>
    <t>September 5, 1998 Hooghly, Bengal</t>
  </si>
  <si>
    <t>23 Years, 6 Months, 10 Days</t>
  </si>
  <si>
    <t>1/39 v RR</t>
  </si>
  <si>
    <t>Prerak Mankad</t>
  </si>
  <si>
    <t>https://sports.ndtv.com/cricket/players/107510-prerak-mankad-playerprofile</t>
  </si>
  <si>
    <t>Prerak Nileshkumar Mankad</t>
  </si>
  <si>
    <t>April 23, 1994 Sirohi, Saurashtra</t>
  </si>
  <si>
    <t>27 Years, 10 Months, 22 Days</t>
  </si>
  <si>
    <t>Atharva Taide</t>
  </si>
  <si>
    <t>https://sports.ndtv.com/cricket/players/110595-atharwa-taide-playerprofile</t>
  </si>
  <si>
    <t>April 26, 2000 Akola Maharashtra</t>
  </si>
  <si>
    <t>21 Years, 10 Months, 19 Days</t>
  </si>
  <si>
    <t>Ansh Patel</t>
  </si>
  <si>
    <t>https://sports.ndtv.com/cricket/players/113486-ansh-p-patel-playerprofile</t>
  </si>
  <si>
    <t>Ansh Pradipkumar Patel</t>
  </si>
  <si>
    <t>February 19, 2002 Vadodara, Gujarat</t>
  </si>
  <si>
    <t>20 Years, 0 Months, 24 Days</t>
  </si>
  <si>
    <t>Jitesh Sharma</t>
  </si>
  <si>
    <t>https://sports.ndtv.com/cricket/players/106754-jitesh-sharma-playerprofile</t>
  </si>
  <si>
    <t>Jitesh Mohan Sharma</t>
  </si>
  <si>
    <t>October 22, 1993 Amrawati, Maharashtra</t>
  </si>
  <si>
    <t>28 Years, 4 Months, 24 Days</t>
  </si>
  <si>
    <t>Writtick Chatterjee</t>
  </si>
  <si>
    <t>https://sports.ndtv.com/cricket/players/64856-writtick-bijoy-chatterjee-playerprofile</t>
  </si>
  <si>
    <t>Writtick Bijoy Chatterjee</t>
  </si>
  <si>
    <t>September 28, 1992 Jamtara, Bengal</t>
  </si>
  <si>
    <t>29 Years, 5 Months, 17 Days</t>
  </si>
  <si>
    <t>Baltej Singh</t>
  </si>
  <si>
    <t>https://sports.ndtv.com/cricket/players/59711-baltej-singh-dhanda-playerprofile</t>
  </si>
  <si>
    <t>Baltej Singh Dhanda</t>
  </si>
  <si>
    <t>November 4, 1990 Ludhiana, Punjab</t>
  </si>
  <si>
    <t>31 Years, 4 Months, 11 Days</t>
  </si>
  <si>
    <t>Kane Williamson</t>
  </si>
  <si>
    <t>SRH</t>
  </si>
  <si>
    <t>https://sports.ndtv.com/cricket/players/1058-kane-williamson-playerprofile</t>
  </si>
  <si>
    <t>Kane Stuart Williamson</t>
  </si>
  <si>
    <t>August 8, 1990 Tauranga</t>
  </si>
  <si>
    <t>31 Years, 7 Months, 7 Days</t>
  </si>
  <si>
    <t>New Zealand</t>
  </si>
  <si>
    <t>89 v DC</t>
  </si>
  <si>
    <t>0/7 v KKR</t>
  </si>
  <si>
    <t>Nicholas Pooran</t>
  </si>
  <si>
    <t>https://sports.ndtv.com/cricket/players/1720-nicolas-pooran-playerprofile</t>
  </si>
  <si>
    <t>October 2, 1995 Trinidad</t>
  </si>
  <si>
    <t>26 Years, 5 Months, 14 Days</t>
  </si>
  <si>
    <t>77 v SRH</t>
  </si>
  <si>
    <t>Washington Sundar</t>
  </si>
  <si>
    <t>https://sports.ndtv.com/cricket/players/108593-washington-sundar-playerprofile</t>
  </si>
  <si>
    <t>October 5, 1999 Chennai, Tamil Nadu</t>
  </si>
  <si>
    <t>22 Years, 5 Months, 11 Days</t>
  </si>
  <si>
    <t>35 v RR</t>
  </si>
  <si>
    <t>3/16 v MI</t>
  </si>
  <si>
    <t>Rahul Tripathi</t>
  </si>
  <si>
    <t>https://sports.ndtv.com/cricket/players/12218-rahul-ajay-tripathi-playerprofile</t>
  </si>
  <si>
    <t>Rahul Ajay Tripathi</t>
  </si>
  <si>
    <t>March 2, 1991 Ranchi, Jharkhand</t>
  </si>
  <si>
    <t>31 Years, 0 Months, 14 Days</t>
  </si>
  <si>
    <t>93 v KKR</t>
  </si>
  <si>
    <t>0/12 v KKR</t>
  </si>
  <si>
    <t>Romario Shepherd</t>
  </si>
  <si>
    <t>https://sports.ndtv.com/cricket/players/112280-romario-shepherd-playerprofile</t>
  </si>
  <si>
    <t>November 26, 1994 Guyana</t>
  </si>
  <si>
    <t>27 Years, 3 Months, 19 Days</t>
  </si>
  <si>
    <t>Abhishek Sharma</t>
  </si>
  <si>
    <t>https://sports.ndtv.com/cricket/players/108562-abhishek-sharma-playerprofile</t>
  </si>
  <si>
    <t>September 4, 2000 Amritsar, Punjab</t>
  </si>
  <si>
    <t>21 Years, 6 Months, 11 Days</t>
  </si>
  <si>
    <t>46* v RCB</t>
  </si>
  <si>
    <t>2/4 v MI</t>
  </si>
  <si>
    <t>Bhuvneshwar Kumar</t>
  </si>
  <si>
    <t>https://sports.ndtv.com/cricket/players/1250-bhuvneshwar-kumar-playerprofile</t>
  </si>
  <si>
    <t>Bhuvneshwar Kumar Singh</t>
  </si>
  <si>
    <t>February 5, 1990 Meerut, Uttar Pradesh</t>
  </si>
  <si>
    <t>32 Years, 1 Months, 7 Days</t>
  </si>
  <si>
    <t>24* v CSK</t>
  </si>
  <si>
    <t>5/19 v PBKS</t>
  </si>
  <si>
    <t>Marco Jansen</t>
  </si>
  <si>
    <t>https://sports.ndtv.com/cricket/players/113406-marco-jansen-playerprofile</t>
  </si>
  <si>
    <t>May 1, 2000 Potchefstroom, North West, South Africa</t>
  </si>
  <si>
    <t>21 Years, 10 Months, 14 Days</t>
  </si>
  <si>
    <t>Left-arm fast</t>
  </si>
  <si>
    <t>0 v KKR</t>
  </si>
  <si>
    <t>2/28 v RCB</t>
  </si>
  <si>
    <t>Umran Malik</t>
  </si>
  <si>
    <t>https://sports.ndtv.com/cricket/players/113473-umran-malik-playerprofile</t>
  </si>
  <si>
    <t>November 22, 1999 Srinagar, Jammu &amp; Kashmir</t>
  </si>
  <si>
    <t>22 Years, 3 Months, 24 Days</t>
  </si>
  <si>
    <t>1/21 v RCB</t>
  </si>
  <si>
    <t>Abdul Samad</t>
  </si>
  <si>
    <t>https://sports.ndtv.com/cricket/players/113179-abdul-samad-playerprofile</t>
  </si>
  <si>
    <t>Abdul Samad Farooq</t>
  </si>
  <si>
    <t>October 28, 2001 Kala Kot, Jammu &amp; Kashmir</t>
  </si>
  <si>
    <t>20 Years, 4 Months, 18 Days</t>
  </si>
  <si>
    <t>33 v DC</t>
  </si>
  <si>
    <t>1/9 v PBKS</t>
  </si>
  <si>
    <t>T Natarajan</t>
  </si>
  <si>
    <t>https://sports.ndtv.com/cricket/players/107525-t-natarajan-playerprofile</t>
  </si>
  <si>
    <t>Thangarasu Natarajan</t>
  </si>
  <si>
    <t>May 27, 1991 Salem</t>
  </si>
  <si>
    <t>30 Years, 9 Months, 20 Days</t>
  </si>
  <si>
    <t>Left-arm medium</t>
  </si>
  <si>
    <t>3* v RCB</t>
  </si>
  <si>
    <t>2/24 v PBKS</t>
  </si>
  <si>
    <t>Kartik Tyagi</t>
  </si>
  <si>
    <t>https://sports.ndtv.com/cricket/players/108595-kartik-tyagi-playerprofile</t>
  </si>
  <si>
    <t>November 8, 2000 Hapur, Uttar Pradesh</t>
  </si>
  <si>
    <t>21 Years, 4 Months, 7 Days</t>
  </si>
  <si>
    <t>2* v DC</t>
  </si>
  <si>
    <t>2/29 v PBKS</t>
  </si>
  <si>
    <t>Aiden Markram</t>
  </si>
  <si>
    <t>https://sports.ndtv.com/cricket/players/64634-aiden-kyle-markram-playerprofile</t>
  </si>
  <si>
    <t>Aiden Kyle Markram</t>
  </si>
  <si>
    <t>October 4, 1994 Centurion</t>
  </si>
  <si>
    <t>27 Years, 5 Months, 11 Days</t>
  </si>
  <si>
    <t>42 v MI</t>
  </si>
  <si>
    <t>0/5 v RCB</t>
  </si>
  <si>
    <t>Sean Abbott</t>
  </si>
  <si>
    <t>https://sports.ndtv.com/cricket/players/106719-sean-abbott-playerprofile</t>
  </si>
  <si>
    <t>Sean Anthony Abbott</t>
  </si>
  <si>
    <t>February 29, 1992 Windsor, New South Wales</t>
  </si>
  <si>
    <t>30 Years, 0 Months, 15 Days</t>
  </si>
  <si>
    <t>14 v SRH</t>
  </si>
  <si>
    <t>0/21 v SRH</t>
  </si>
  <si>
    <t>Glenn Phillips</t>
  </si>
  <si>
    <t>https://sports.ndtv.com/cricket/players/107472-glenn-phillips-playerprofile</t>
  </si>
  <si>
    <t>Glenn Dominic Phillips</t>
  </si>
  <si>
    <t>December 6, 1996 East London, Eastern Cape</t>
  </si>
  <si>
    <t>25 Years, 3 Months, 9 Days</t>
  </si>
  <si>
    <t>14* v CSK</t>
  </si>
  <si>
    <t>1/17 v KKR</t>
  </si>
  <si>
    <t>Shreyas Gopal</t>
  </si>
  <si>
    <t>https://sports.ndtv.com/cricket/players/51296-shreyas-gopal-playerprofile</t>
  </si>
  <si>
    <t>September 4, 1993 Banglaore, Karnataka</t>
  </si>
  <si>
    <t>28 Years, 6 Months, 11 Days</t>
  </si>
  <si>
    <t>24 v PBKS</t>
  </si>
  <si>
    <t>4/16 v RCB</t>
  </si>
  <si>
    <t>Fazalhaq Farooqi</t>
  </si>
  <si>
    <t>https://sports.ndtv.com/cricket/players/112535-fazal-haque-playerprofile</t>
  </si>
  <si>
    <t>September 22, 2000 Baghlan</t>
  </si>
  <si>
    <t>21 Years, 5 Months, 23 Days</t>
  </si>
  <si>
    <t>Afghanistan</t>
  </si>
  <si>
    <t>Vishnu Vinod</t>
  </si>
  <si>
    <t>https://sports.ndtv.com/cricket/players/107531-vishnu-vinod-playerprofile</t>
  </si>
  <si>
    <t>December 2, 1993 Pathanamthitta, Kerala</t>
  </si>
  <si>
    <t>28 Years, 3 Months, 13 Days</t>
  </si>
  <si>
    <t>9 v DC</t>
  </si>
  <si>
    <t>Priyam Garg</t>
  </si>
  <si>
    <t>https://sports.ndtv.com/cricket/players/110579-priyam-garg-playerprofile</t>
  </si>
  <si>
    <t>Priyam K Garg</t>
  </si>
  <si>
    <t>November 30, 2000 Meerut, Uttar Pradesh</t>
  </si>
  <si>
    <t>21 Years, 3 Months, 15 Days</t>
  </si>
  <si>
    <t>51* v CSK</t>
  </si>
  <si>
    <t>Saurabh Dubey</t>
  </si>
  <si>
    <t>https://sports.ndtv.com/cricket/players/113468-saurabh-dubey-playerprofile</t>
  </si>
  <si>
    <t>24 Years, 1 Months, 20 Days</t>
  </si>
  <si>
    <t>Jagadeesha Suchith</t>
  </si>
  <si>
    <t>https://sports.ndtv.com/cricket/players/106726-jagadeesha-suchith-playerprofile</t>
  </si>
  <si>
    <t>January 16, 1994 Mysore</t>
  </si>
  <si>
    <t>28 Years, 2 Months, -1 Days</t>
  </si>
  <si>
    <t>34* v PBKS</t>
  </si>
  <si>
    <t>2/14 v SRH</t>
  </si>
  <si>
    <t>Shashank Singh</t>
  </si>
  <si>
    <t>https://sports.ndtv.com/cricket/players/63951-shashank-singh-playerprofile</t>
  </si>
  <si>
    <t>November 21, 1991 Bhilai</t>
  </si>
  <si>
    <t>30 Years, 3 Months, 25 Days</t>
  </si>
  <si>
    <t>Ravikumar Samarth</t>
  </si>
  <si>
    <t>https://sports.ndtv.com/cricket/players/63978-ravikumar-samarth-playerprofile</t>
  </si>
  <si>
    <t>29 Years, 1 Months, 21 Days</t>
  </si>
  <si>
    <t>Sanju Samson</t>
  </si>
  <si>
    <t>RR</t>
  </si>
  <si>
    <t>https://sports.ndtv.com/cricket/players/1701-sanju-samson-playerprofile</t>
  </si>
  <si>
    <t>Sanju Viswanath Samson</t>
  </si>
  <si>
    <t>November 11, 1994 Pulluvila, Vizhinjam, Trivandrum</t>
  </si>
  <si>
    <t>27 Years, 4 Months, 4 Days</t>
  </si>
  <si>
    <t>119 v PBKS</t>
  </si>
  <si>
    <t>Prasidh Krishna</t>
  </si>
  <si>
    <t>https://sports.ndtv.com/cricket/players/107509-prasidh-krishna-playerprofile</t>
  </si>
  <si>
    <t>Muralikrishna Prasidh Krishna</t>
  </si>
  <si>
    <t>February 19, 1996 Bangalore, Karnataka</t>
  </si>
  <si>
    <t>26 Years, 0 Months, 25 Days</t>
  </si>
  <si>
    <t>2* v RCB</t>
  </si>
  <si>
    <t>4/30 v SRH</t>
  </si>
  <si>
    <t>Jos Buttler</t>
  </si>
  <si>
    <t>https://sports.ndtv.com/cricket/players/1367-jos-buttler-playerprofile</t>
  </si>
  <si>
    <t>Joseph Charles Buttler</t>
  </si>
  <si>
    <t>September 8, 1990 Taunton, Somerset</t>
  </si>
  <si>
    <t>31 Years, 6 Months, 7 Days</t>
  </si>
  <si>
    <t>124 v SRH</t>
  </si>
  <si>
    <t>Shimron Hetmyer</t>
  </si>
  <si>
    <t>https://sports.ndtv.com/cricket/players/107627-shimron-hetmyer-playerprofile</t>
  </si>
  <si>
    <t>Shimron Odilon Hetmyer</t>
  </si>
  <si>
    <t>December 26, 1996 Cumberland, Berbice</t>
  </si>
  <si>
    <t>25 Years, 2 Months, 20 Days</t>
  </si>
  <si>
    <t>75 v SRH</t>
  </si>
  <si>
    <t>Trent Boult</t>
  </si>
  <si>
    <t>https://sports.ndtv.com/cricket/players/1061-trent-boult-playerprofile</t>
  </si>
  <si>
    <t>Trent Alexander Boult</t>
  </si>
  <si>
    <t>July 22, 1989 Rotorua</t>
  </si>
  <si>
    <t>32 Years, 7 Months, 24 Days</t>
  </si>
  <si>
    <t>Left-arm fast medium</t>
  </si>
  <si>
    <t>6 v CSK</t>
  </si>
  <si>
    <t>4/18 v CSK</t>
  </si>
  <si>
    <t>Devdutt Padikkal</t>
  </si>
  <si>
    <t>https://sports.ndtv.com/cricket/players/110591-devdutt-padikkal-playerprofile</t>
  </si>
  <si>
    <t>Devdutt Babunu Padikkal</t>
  </si>
  <si>
    <t>July 7, 2000 Edapal, Kerala</t>
  </si>
  <si>
    <t>21 Years, 8 Months, 8 Days</t>
  </si>
  <si>
    <t>101* v RR</t>
  </si>
  <si>
    <t>Yuzvendra Chahal</t>
  </si>
  <si>
    <t>https://sports.ndtv.com/cricket/players/1394-yuzvendra-chahal-playerprofile</t>
  </si>
  <si>
    <t>Yuzvendra Singh Chahal</t>
  </si>
  <si>
    <t>July 23, 1990 Jind, Haryana, India</t>
  </si>
  <si>
    <t>31 Years, 7 Months, 23 Days</t>
  </si>
  <si>
    <t>8* v CSK</t>
  </si>
  <si>
    <t>4/25 v PBKS</t>
  </si>
  <si>
    <t>Ravichandran Ashwin</t>
  </si>
  <si>
    <t>https://sports.ndtv.com/cricket/players/1109-ravichandran-ashwin-playerprofile</t>
  </si>
  <si>
    <t>September 17, 1986 Chennai, Tamil Nadu</t>
  </si>
  <si>
    <t>35 Years, 5 Months, 28 Days</t>
  </si>
  <si>
    <t>45 v KKR</t>
  </si>
  <si>
    <t>4/34 v PBKS</t>
  </si>
  <si>
    <t>Yashasvi Jaiswal</t>
  </si>
  <si>
    <t>https://sports.ndtv.com/cricket/players/112646-yashasvi-jaiswal-playerprofile</t>
  </si>
  <si>
    <t>Yashasvi Bhupendra Kumar Jaiswal</t>
  </si>
  <si>
    <t>December 28, 2001 Suriya, Uttar Pradesh</t>
  </si>
  <si>
    <t>20 Years, 2 Months, 18 Days</t>
  </si>
  <si>
    <t>50 v CSK</t>
  </si>
  <si>
    <t>Riyan Parag</t>
  </si>
  <si>
    <t>https://sports.ndtv.com/cricket/players/108566-riyan-parag-playerprofile</t>
  </si>
  <si>
    <t>November 10, 2001 Guwahati, Assam</t>
  </si>
  <si>
    <t>20 Years, 4 Months, 5 Days</t>
  </si>
  <si>
    <t>50 v DC</t>
  </si>
  <si>
    <t>1/7 v PBKS</t>
  </si>
  <si>
    <t>Navdeep Saini</t>
  </si>
  <si>
    <t>https://sports.ndtv.com/cricket/players/64853-navdeep-amarjeet-saini-playerprofile</t>
  </si>
  <si>
    <t>Navdeep Amarjeet Saini</t>
  </si>
  <si>
    <t>November 23, 1992 Karnal, Haryana</t>
  </si>
  <si>
    <t>29 Years, 3 Months, 22 Days</t>
  </si>
  <si>
    <t>12* v DC</t>
  </si>
  <si>
    <t>2/24 v DC</t>
  </si>
  <si>
    <t>Nathan Coulter-Nile</t>
  </si>
  <si>
    <t>https://sports.ndtv.com/cricket/players/1424-nathan-coulter-nile-playerprofile</t>
  </si>
  <si>
    <t>Nathan Mitchell Coulter-Nile</t>
  </si>
  <si>
    <t>October 11, 1987 Osborne Park, Western Australia</t>
  </si>
  <si>
    <t>34 Years, 5 Months, 5 Days</t>
  </si>
  <si>
    <t>24* v PBKS</t>
  </si>
  <si>
    <t>4/14 v RR</t>
  </si>
  <si>
    <t>James Neesham</t>
  </si>
  <si>
    <t>https://sports.ndtv.com/cricket/players/1441-james-neesham-playerprofile</t>
  </si>
  <si>
    <t>James Douglas Sheahan Neesham</t>
  </si>
  <si>
    <t>September 17, 1990 Auckland</t>
  </si>
  <si>
    <t>31 Years, 5 Months, 28 Days</t>
  </si>
  <si>
    <t>22 v CSK</t>
  </si>
  <si>
    <t>3/12 v RR</t>
  </si>
  <si>
    <t>Karun Nair</t>
  </si>
  <si>
    <t>https://sports.ndtv.com/cricket/players/1708-karun-nair-playerprofile</t>
  </si>
  <si>
    <t>Karun Kaladharan Nair</t>
  </si>
  <si>
    <t>December 6, 1991 Jodhpur, Rajasthan</t>
  </si>
  <si>
    <t>30 Years, 3 Months, 10 Days</t>
  </si>
  <si>
    <t>83* v SRH</t>
  </si>
  <si>
    <t>Rassie van der Dussen</t>
  </si>
  <si>
    <t>https://sports.ndtv.com/cricket/players/1541-rassie-van-der-dussen-playerprofile</t>
  </si>
  <si>
    <t>Obed McCoy</t>
  </si>
  <si>
    <t>https://sports.ndtv.com/cricket/players/110382-obed-mccoy-playerprofile</t>
  </si>
  <si>
    <t>Obed Christopher McCoy</t>
  </si>
  <si>
    <t>25 Years, 2 Months, 11 Days</t>
  </si>
  <si>
    <t>Daryl Mitchell</t>
  </si>
  <si>
    <t>https://sports.ndtv.com/cricket/players/50709-daryl-joseph-mitchell-playerprofile</t>
  </si>
  <si>
    <t>Daryl Joseph Mitchell</t>
  </si>
  <si>
    <t>May 20, 1991 Hamilton</t>
  </si>
  <si>
    <t>30 Years, 9 Months, 27 Days</t>
  </si>
  <si>
    <t>KC Cariappa</t>
  </si>
  <si>
    <t>https://sports.ndtv.com/cricket/players/107051-kc-cariappa-playerprofile</t>
  </si>
  <si>
    <t>Konganda Charamanna Cariappa</t>
  </si>
  <si>
    <t>April 13, 1994 Bangalore, Karnataka</t>
  </si>
  <si>
    <t>27 Years, 11 Months, 2 Days</t>
  </si>
  <si>
    <t>12* v RCB</t>
  </si>
  <si>
    <t>2/16 v RCB</t>
  </si>
  <si>
    <t>Tejas Baroka</t>
  </si>
  <si>
    <t>https://sports.ndtv.com/cricket/players/107535-tejas-baroka-playerprofile</t>
  </si>
  <si>
    <t>Tejas Singh Baroka</t>
  </si>
  <si>
    <t>February 1, 1996 Pondicherry</t>
  </si>
  <si>
    <t>26 Years, 1 Months, 12 Days</t>
  </si>
  <si>
    <t>0/33 v SRH</t>
  </si>
  <si>
    <t>Kuldip Yadav</t>
  </si>
  <si>
    <t>https://sports.ndtv.com/cricket/players/108618-kuldip-yadav-playerprofile</t>
  </si>
  <si>
    <t>25 Years, 5 Months, 0 Days</t>
  </si>
  <si>
    <t>0* v MI</t>
  </si>
  <si>
    <t>0/16 v MI</t>
  </si>
  <si>
    <t>Dhruv Jurel</t>
  </si>
  <si>
    <t>https://sports.ndtv.com/cricket/players/112648-dhruv-jurel-playerprofile</t>
  </si>
  <si>
    <t>Dhruv Chand Jurel</t>
  </si>
  <si>
    <t>January 21, 2001 Agra, Uttar Pradesh</t>
  </si>
  <si>
    <t>21 Years, 1 Months, 22 Days</t>
  </si>
  <si>
    <t>Kuldeep Sen</t>
  </si>
  <si>
    <t>https://sports.ndtv.com/cricket/players/110603-kuldeep-sen-playerprofile</t>
  </si>
  <si>
    <t>Kuldeep Rampal Sen</t>
  </si>
  <si>
    <t>October 22, 1996 Rewa, Madhya Pradesh, India</t>
  </si>
  <si>
    <t>25 Years, 4 Months, 24 Days</t>
  </si>
  <si>
    <t>Shubham Garhwal</t>
  </si>
  <si>
    <t>https://sports.ndtv.com/cricket/players/115354-shubham-garhwal-playerprofile</t>
  </si>
  <si>
    <t>Shubham Shankar Garhwal</t>
  </si>
  <si>
    <t>May 14, 1995 Jodhpur, Rajasthan</t>
  </si>
  <si>
    <t>26 Years, 10 Months, 2 Days</t>
  </si>
  <si>
    <t>Anunay Singh</t>
  </si>
  <si>
    <t>https://sports.ndtv.com/cricket/players/115306-anunay-singh-playerprofile</t>
  </si>
  <si>
    <t>Anunay Narayan Singh</t>
  </si>
  <si>
    <t>January 3, 1993 Vaishali, Bihar</t>
  </si>
  <si>
    <t>29 Years, 2 Months, 12 Days</t>
  </si>
  <si>
    <t>Virat Kohli</t>
  </si>
  <si>
    <t>RCB</t>
  </si>
  <si>
    <t>https://sports.ndtv.com/cricket/players/967-virat-kohli-playerprofile</t>
  </si>
  <si>
    <t>November 5, 1988 Delhi</t>
  </si>
  <si>
    <t>33 Years, 4 Months, 10 Days</t>
  </si>
  <si>
    <t>113 v PBKS</t>
  </si>
  <si>
    <t>2/25 v DCH</t>
  </si>
  <si>
    <t>Glenn Maxwell</t>
  </si>
  <si>
    <t>https://sports.ndtv.com/cricket/players/1423-glenn-maxwell-playerprofile</t>
  </si>
  <si>
    <t>Glenn James Maxwell</t>
  </si>
  <si>
    <t>October 14, 1988 Kew, Melbourne, Victoria</t>
  </si>
  <si>
    <t>33 Years, 5 Months, 1 Days</t>
  </si>
  <si>
    <t>95 v CSK</t>
  </si>
  <si>
    <t>2/15 v RCB</t>
  </si>
  <si>
    <t>Harshal Patel</t>
  </si>
  <si>
    <t>https://sports.ndtv.com/cricket/players/1293-harshal-patel-playerprofile</t>
  </si>
  <si>
    <t>Harshal Vikram Patel</t>
  </si>
  <si>
    <t>November 23, 1990 Sanand, Gujarat</t>
  </si>
  <si>
    <t>31 Years, 3 Months, 22 Days</t>
  </si>
  <si>
    <t>36* v CSK</t>
  </si>
  <si>
    <t>5/27 v MI</t>
  </si>
  <si>
    <t>Wanindu Hasaranga</t>
  </si>
  <si>
    <t>https://sports.ndtv.com/cricket/players/107713-wanidu-hasaranga-playerprofile</t>
  </si>
  <si>
    <t>Pinnaduwage Wanindu Hasaranga De Silva</t>
  </si>
  <si>
    <t>July 29, 1997 Galle</t>
  </si>
  <si>
    <t>24 Years, 7 Months, 17 Days</t>
  </si>
  <si>
    <t>1* v CSK</t>
  </si>
  <si>
    <t>0/20 v KKR</t>
  </si>
  <si>
    <t>Josh Hazlewood</t>
  </si>
  <si>
    <t>https://sports.ndtv.com/cricket/players/1040-josh-hazlewood-playerprofile</t>
  </si>
  <si>
    <t>Josh Reginald Hazlewood</t>
  </si>
  <si>
    <t>January 8, 1991 Tamworth, New South Wales, Australia</t>
  </si>
  <si>
    <t>31 Years, 2 Months, 7 Days</t>
  </si>
  <si>
    <t>3/24 v SRH</t>
  </si>
  <si>
    <t>Faf du Plessis</t>
  </si>
  <si>
    <t>https://sports.ndtv.com/cricket/players/1579-faf-du-plessis-playerprofile</t>
  </si>
  <si>
    <t>Francois du Plessis</t>
  </si>
  <si>
    <t>July 13, 1984 Pretoria, Transvaal</t>
  </si>
  <si>
    <t>37 Years, 8 Months, 2 Days</t>
  </si>
  <si>
    <t>96 v PBKS</t>
  </si>
  <si>
    <t>0/16 v DCH</t>
  </si>
  <si>
    <t>Mohammed Siraj</t>
  </si>
  <si>
    <t>https://sports.ndtv.com/cricket/players/107503-mohammed-siraj-playerprofile</t>
  </si>
  <si>
    <t>March 13, 1994 Hyderabad</t>
  </si>
  <si>
    <t>28 Years, 0 Months, 2 Days</t>
  </si>
  <si>
    <t>14 v RR</t>
  </si>
  <si>
    <t>4/32 v GL</t>
  </si>
  <si>
    <t>Dinesh Karthik</t>
  </si>
  <si>
    <t>https://sports.ndtv.com/cricket/players/666-dinesh-karthik-playerprofile</t>
  </si>
  <si>
    <t>Krishnakumar Dinesh Karthik</t>
  </si>
  <si>
    <t>June 1, 1985 Chennai, Tamil Nadu</t>
  </si>
  <si>
    <t>36 Years, 9 Months, 14 Days</t>
  </si>
  <si>
    <t>97* v RR</t>
  </si>
  <si>
    <t>Anuj Rawat</t>
  </si>
  <si>
    <t>https://sports.ndtv.com/cricket/players/108579-anuj-rawat-playerprofile</t>
  </si>
  <si>
    <t>October 17, 1999 Ram Nagar, Uttarakhand</t>
  </si>
  <si>
    <t>22 Years, 5 Months, -1 Days</t>
  </si>
  <si>
    <t>Shahbaz Ahmed</t>
  </si>
  <si>
    <t>https://sports.ndtv.com/cricket/players/51351-shahbaz-ahmed-playerprofile</t>
  </si>
  <si>
    <t>December 12, 1994 Mewat, Haryana</t>
  </si>
  <si>
    <t>27 Years, 3 Months, 3 Days</t>
  </si>
  <si>
    <t>3/7 v SRH</t>
  </si>
  <si>
    <t>David Willey</t>
  </si>
  <si>
    <t>https://sports.ndtv.com/cricket/players/25633-dj-willey-playerprofile</t>
  </si>
  <si>
    <t>David Jonathan Willey</t>
  </si>
  <si>
    <t>February 28, 1990 Northampton</t>
  </si>
  <si>
    <t>32 Years, 0 Months, 15 Days</t>
  </si>
  <si>
    <t>1/24 v RCB</t>
  </si>
  <si>
    <t>Sherfane Rutherford</t>
  </si>
  <si>
    <t>https://sports.ndtv.com/cricket/players/110388-sherfane-rutherford-playerprofile</t>
  </si>
  <si>
    <t>Sherfane Eviston Rutherford</t>
  </si>
  <si>
    <t>23 Years, 7 Months, 0 Days</t>
  </si>
  <si>
    <t>28* v RCB</t>
  </si>
  <si>
    <t>1/6 v RCB</t>
  </si>
  <si>
    <t>Mahipal Lomror</t>
  </si>
  <si>
    <t>https://sports.ndtv.com/cricket/players/107234-mahipal-lomror-playerprofile</t>
  </si>
  <si>
    <t>Mahipal Krishan Lomror</t>
  </si>
  <si>
    <t>November 16, 1999 Nagaur, Rajasthan</t>
  </si>
  <si>
    <t>22 Years, 4 Months, 0 Days</t>
  </si>
  <si>
    <t>47 v RCB</t>
  </si>
  <si>
    <t>1/22 v SRH</t>
  </si>
  <si>
    <t>Finn Allen</t>
  </si>
  <si>
    <t>https://sports.ndtv.com/cricket/players/113428-finn-allen-playerprofile</t>
  </si>
  <si>
    <t>Finnley Hugh Allen</t>
  </si>
  <si>
    <t>April 22, 1999 Auckland</t>
  </si>
  <si>
    <t>22 Years, 10 Months, 24 Days</t>
  </si>
  <si>
    <t>Jason Behrendorff</t>
  </si>
  <si>
    <t>https://sports.ndtv.com/cricket/players/1663-jason-behrendorff-playerprofile</t>
  </si>
  <si>
    <t>Jason Paul Behrendorff</t>
  </si>
  <si>
    <t>April 20, 1990 Camden, New South Wales</t>
  </si>
  <si>
    <t>31 Years, 10 Months, 25 Days</t>
  </si>
  <si>
    <t>2/22 v CSK</t>
  </si>
  <si>
    <t>Siddarth Kaul</t>
  </si>
  <si>
    <t>https://sports.ndtv.com/cricket/players/1699-siddarth-kaul-playerprofile</t>
  </si>
  <si>
    <t>May 19, 1990 Pathankot, Punjab</t>
  </si>
  <si>
    <t>31 Years, 9 Months, 27 Days</t>
  </si>
  <si>
    <t>7* v KKR</t>
  </si>
  <si>
    <t>4/29 v RPS</t>
  </si>
  <si>
    <t>Karn Sharma</t>
  </si>
  <si>
    <t>https://sports.ndtv.com/cricket/players/1245-karan-sharma-playerprofile</t>
  </si>
  <si>
    <t>Karn Vinod Sharma</t>
  </si>
  <si>
    <t>October 23, 1987 Meerut, Uttar Pradesh</t>
  </si>
  <si>
    <t>34 Years, 4 Months, 24 Days</t>
  </si>
  <si>
    <t>39* v CSK</t>
  </si>
  <si>
    <t>4/16 v KKR</t>
  </si>
  <si>
    <t>Suyash Prabhudessai</t>
  </si>
  <si>
    <t>https://sports.ndtv.com/cricket/players/110587-suyash-prabhudessai-playerprofile</t>
  </si>
  <si>
    <t>Suyash S Prabhudessai</t>
  </si>
  <si>
    <t>24 Years, 3 Months, 9 Days</t>
  </si>
  <si>
    <t>Chama Milind</t>
  </si>
  <si>
    <t>https://sports.ndtv.com/cricket/players/64116-chama-v-milind-playerprofile</t>
  </si>
  <si>
    <t>Aneeshwar Gautam</t>
  </si>
  <si>
    <t>https://sports.ndtv.com/cricket/players/114974-aneeshwar-gautam-playerprofile</t>
  </si>
  <si>
    <t>Aneeshwar Gautam Narendra</t>
  </si>
  <si>
    <t>January 16, 2003 Bengaluru, Karnataka</t>
  </si>
  <si>
    <t>19 Years, 2 Months, -1 Days</t>
  </si>
  <si>
    <t>Akash Deep</t>
  </si>
  <si>
    <t>https://sports.ndtv.com/cricket/players/113443-akash-deep-playerprofile</t>
  </si>
  <si>
    <t>December 15, 1996 Dehri, (Rotas), Bihar</t>
  </si>
  <si>
    <t>25 Years, 3 Months, 0 Days</t>
  </si>
  <si>
    <t>Luvnith Sisodia</t>
  </si>
  <si>
    <t>https://sports.ndtv.com/cricket/players/115304-luvnith-sisodia-playerprofile</t>
  </si>
  <si>
    <t>Luvnith Sujith Sisodia</t>
  </si>
  <si>
    <t>January 15, 2000 Bangalore, Karnataka</t>
  </si>
  <si>
    <t>22 Years, 2 Months, 1 Days</t>
  </si>
  <si>
    <t>Rohit Sharma</t>
  </si>
  <si>
    <t>MI</t>
  </si>
  <si>
    <t>https://sports.ndtv.com/cricket/players/857-rohit-sharma-playerprofile</t>
  </si>
  <si>
    <t>Rohit Gurunath Sharma</t>
  </si>
  <si>
    <t>April 30, 1987 Bansod, Nagpur, Maharashtra</t>
  </si>
  <si>
    <t>34 Years, 10 Months, 16 Days</t>
  </si>
  <si>
    <t>109* v KKR</t>
  </si>
  <si>
    <t>4/6 v MI</t>
  </si>
  <si>
    <t>Ishan Kishan</t>
  </si>
  <si>
    <t>https://sports.ndtv.com/cricket/players/107047-ishan-kishan-playerprofile</t>
  </si>
  <si>
    <t>Ishan Pranav Kumar Pandey Kishan</t>
  </si>
  <si>
    <t>July 18, 1998 Patna, Bihar</t>
  </si>
  <si>
    <t>23 Years, 7 Months, 28 Days</t>
  </si>
  <si>
    <t>99 v RCB</t>
  </si>
  <si>
    <t>Jasprit Bumrah</t>
  </si>
  <si>
    <t>https://sports.ndtv.com/cricket/players/1724-jasprit-bumrah-playerprofile</t>
  </si>
  <si>
    <t>Jasprit Jasbirsingh Bumrah</t>
  </si>
  <si>
    <t>December 6, 1993 Ahmedabad</t>
  </si>
  <si>
    <t>28 Years, 3 Months, 9 Days</t>
  </si>
  <si>
    <t>16* v RPS</t>
  </si>
  <si>
    <t>4/14 v DC</t>
  </si>
  <si>
    <t>Tim David</t>
  </si>
  <si>
    <t>https://sports.ndtv.com/cricket/players/111686-tim-david-playerprofile</t>
  </si>
  <si>
    <t>Timothy Hays David</t>
  </si>
  <si>
    <t>26 Years, 0 Months, -1 Days</t>
  </si>
  <si>
    <t>Singapore</t>
  </si>
  <si>
    <t>1 v CSK</t>
  </si>
  <si>
    <t>Jofra Archer</t>
  </si>
  <si>
    <t>https://sports.ndtv.com/cricket/players/64664-jofra-archer-playerprofile</t>
  </si>
  <si>
    <t>Jofra Chioke Archer</t>
  </si>
  <si>
    <t>April 1, 1995 Bridgetown, Barbados</t>
  </si>
  <si>
    <t>26 Years, 11 Months, 15 Days</t>
  </si>
  <si>
    <t>27* v CSK</t>
  </si>
  <si>
    <t>3/15 v PBKS</t>
  </si>
  <si>
    <t>Suryakumar Yadav</t>
  </si>
  <si>
    <t>https://sports.ndtv.com/cricket/players/1492-suryakumar-yadav-playerprofile</t>
  </si>
  <si>
    <t>Suryakumar Ashok Yadav</t>
  </si>
  <si>
    <t>September 14, 1990 Mumbai, Maharashtra</t>
  </si>
  <si>
    <t>31 Years, 6 Months, 1 Days</t>
  </si>
  <si>
    <t>82 v SRH</t>
  </si>
  <si>
    <t>0/8 v DC</t>
  </si>
  <si>
    <t>Kieron Pollard</t>
  </si>
  <si>
    <t>https://sports.ndtv.com/cricket/players/907-kieron-pollard-playerprofile</t>
  </si>
  <si>
    <t>Kieron Adrian Pollard</t>
  </si>
  <si>
    <t>May 12, 1987 Tacarigua, Trinidad</t>
  </si>
  <si>
    <t>34 Years, 10 Months, 4 Days</t>
  </si>
  <si>
    <t>87* v CSK</t>
  </si>
  <si>
    <t>4/44 v RR</t>
  </si>
  <si>
    <t>Dewald Brevis</t>
  </si>
  <si>
    <t>https://sports.ndtv.com/cricket/players/115001-dewald-brevis-playerprofile</t>
  </si>
  <si>
    <t>April 29, 2003 Johannesburg</t>
  </si>
  <si>
    <t>18 Years, 10 Months, 17 Days</t>
  </si>
  <si>
    <t>Daniel Sams</t>
  </si>
  <si>
    <t>https://sports.ndtv.com/cricket/players/113155-daniel-sams-playerprofile</t>
  </si>
  <si>
    <t>Daniel Richard Sams</t>
  </si>
  <si>
    <t>October 27, 1992 Milperra, New South Wales</t>
  </si>
  <si>
    <t>29 Years, 4 Months, 19 Days</t>
  </si>
  <si>
    <t>3* v DC</t>
  </si>
  <si>
    <t>1/24 v PBKS</t>
  </si>
  <si>
    <t>Tilak Varma</t>
  </si>
  <si>
    <t>https://sports.ndtv.com/cricket/players/112645-tilak-varma-playerprofile</t>
  </si>
  <si>
    <t>Namboori Thakur Tilak Varma</t>
  </si>
  <si>
    <t>November 8, 2002 Hyderabad, Andhra Pradesh</t>
  </si>
  <si>
    <t>19 Years, 4 Months, 7 Days</t>
  </si>
  <si>
    <t>Murugan Ashwin</t>
  </si>
  <si>
    <t>https://sports.ndtv.com/cricket/players/63773-murugan-ashwin-playerprofile</t>
  </si>
  <si>
    <t>September 8, 1990 Chennai, Tamil Nadu</t>
  </si>
  <si>
    <t>9 v SRH</t>
  </si>
  <si>
    <t>3/21 v RCB</t>
  </si>
  <si>
    <t>Tymal Mills</t>
  </si>
  <si>
    <t>https://sports.ndtv.com/cricket/players/51462-tymal-solomon-mills-playerprofile</t>
  </si>
  <si>
    <t>Tymal Solomon Mills</t>
  </si>
  <si>
    <t>August 12, 1992 Dewsbury, Yorkshire</t>
  </si>
  <si>
    <t>29 Years, 7 Months, 3 Days</t>
  </si>
  <si>
    <t>6 v SRH</t>
  </si>
  <si>
    <t>2/31 v KKR</t>
  </si>
  <si>
    <t>Jaydev Unadkat</t>
  </si>
  <si>
    <t>https://sports.ndtv.com/cricket/players/1298-jaydev-unadkat-playerprofile</t>
  </si>
  <si>
    <t>Jaydev Dipakbhai Unadkat</t>
  </si>
  <si>
    <t>October 18, 1991 Porbandar</t>
  </si>
  <si>
    <t>30 Years, 4 Months, 29 Days</t>
  </si>
  <si>
    <t>26 v KKR</t>
  </si>
  <si>
    <t>5/25 v DC</t>
  </si>
  <si>
    <t>Riley Meredith</t>
  </si>
  <si>
    <t>https://sports.ndtv.com/cricket/players/113157-riley-meredith-playerprofile</t>
  </si>
  <si>
    <t>Riley Patrick Meredith</t>
  </si>
  <si>
    <t>June 21, 1996 Hobart, Tasmania</t>
  </si>
  <si>
    <t>25 Years, 8 Months, 24 Days</t>
  </si>
  <si>
    <t>0 v RR</t>
  </si>
  <si>
    <t>1/29 v RCB</t>
  </si>
  <si>
    <t>Fabian Allen</t>
  </si>
  <si>
    <t>https://sports.ndtv.com/cricket/players/64663-fabian-allen-playerprofile</t>
  </si>
  <si>
    <t>Fabian Anthony Allen</t>
  </si>
  <si>
    <t>May 7, 1995 Kingston, Jamaica</t>
  </si>
  <si>
    <t>26 Years, 10 Months, 9 Days</t>
  </si>
  <si>
    <t>Mayank Markande</t>
  </si>
  <si>
    <t>https://sports.ndtv.com/cricket/players/108589-mayank-markande-playerprofile</t>
  </si>
  <si>
    <t>November 11, 1997 Bathinda, Punjab</t>
  </si>
  <si>
    <t>24 Years, 4 Months, 4 Days</t>
  </si>
  <si>
    <t>7* v PBKS</t>
  </si>
  <si>
    <t>4/23 v SRH</t>
  </si>
  <si>
    <t>Sanjay Yadav</t>
  </si>
  <si>
    <t>https://sports.ndtv.com/cricket/players/107487-r-sanjay-yadav-playerprofile</t>
  </si>
  <si>
    <t>Ramsingh Sanjay Yadav</t>
  </si>
  <si>
    <t>May 10, 1995 Gorakhpur, Uttar Pradesh</t>
  </si>
  <si>
    <t>26 Years, 10 Months, 6 Days</t>
  </si>
  <si>
    <t>Basil Thampi</t>
  </si>
  <si>
    <t>https://sports.ndtv.com/cricket/players/106722-basil-thampi-playerprofile</t>
  </si>
  <si>
    <t>September 11, 1993 Ernakulam, Kerala</t>
  </si>
  <si>
    <t>28 Years, 6 Months, 4 Days</t>
  </si>
  <si>
    <t>13* v SRH</t>
  </si>
  <si>
    <t>3/29 v MI</t>
  </si>
  <si>
    <t>Arjun Tendulkar</t>
  </si>
  <si>
    <t>https://sports.ndtv.com/cricket/players/106841-arjun-tendulkar-playerprofile</t>
  </si>
  <si>
    <t>Arjun Sachin Tendulkar</t>
  </si>
  <si>
    <t>September 24, 1999 Mumbai</t>
  </si>
  <si>
    <t>22 Years, 5 Months, 22 Days</t>
  </si>
  <si>
    <t>Ramandeep Singh</t>
  </si>
  <si>
    <t>https://sports.ndtv.com/cricket/players/108554-ramandeep-singh-playerprofile</t>
  </si>
  <si>
    <t>April 13, 1997 Chandigarh</t>
  </si>
  <si>
    <t>24 Years, 11 Months, 2 Days</t>
  </si>
  <si>
    <t>Anmolpreet Singh</t>
  </si>
  <si>
    <t>https://sports.ndtv.com/cricket/players/108576-anmolpreet-singh-playerprofile</t>
  </si>
  <si>
    <t>March 28, 1998 Patiala, Punjab</t>
  </si>
  <si>
    <t>23 Years, 11 Months, 18 Days</t>
  </si>
  <si>
    <t>16 v CSK</t>
  </si>
  <si>
    <t>Aryan Juyal</t>
  </si>
  <si>
    <t>https://sports.ndtv.com/cricket/players/110596-aryan-juyal-playerprofile</t>
  </si>
  <si>
    <t>November 11, 2001 Moradabad, Uttar Pradesh</t>
  </si>
  <si>
    <t>20 Years, 4 Months, 4 Days</t>
  </si>
  <si>
    <t>Arshad Khan</t>
  </si>
  <si>
    <t>https://sports.ndtv.com/cricket/players/115342-arshad-khan-playerprofile</t>
  </si>
  <si>
    <t>Mohd Arshad Khan</t>
  </si>
  <si>
    <t>December 20, 1997 Gopalganj</t>
  </si>
  <si>
    <t>24 Years, 2 Months, 26 Days</t>
  </si>
  <si>
    <t>Rahul Buddhi</t>
  </si>
  <si>
    <t>https://sports.ndtv.com/cricket/players/115338-rahul-buddhi-playerprofile</t>
  </si>
  <si>
    <t>Rahul Ravinder Buddhi</t>
  </si>
  <si>
    <t>September 20, 1997 Hyderabad</t>
  </si>
  <si>
    <t>24 Years, 5 Months, 25 Days</t>
  </si>
  <si>
    <t>Hrithik Shokeen</t>
  </si>
  <si>
    <t>https://sports.ndtv.com/cricket/players/115315-hrithik-shokeen-playerprofile</t>
  </si>
  <si>
    <t>Hrithik Rakesh Shokeen</t>
  </si>
  <si>
    <t>August 14, 2000 Delhi</t>
  </si>
  <si>
    <t>21 Years, 7 Months, 1 Days</t>
  </si>
  <si>
    <t>Ravindra Jadeja</t>
  </si>
  <si>
    <t>CSK</t>
  </si>
  <si>
    <t>https://sports.ndtv.com/cricket/players/855-ravindra-jadeja-playerprofile</t>
  </si>
  <si>
    <t>Ravindrasinh Anirudhsinh Jadeja</t>
  </si>
  <si>
    <t>December 6, 1988 Navagam-Khed, Saurashtra</t>
  </si>
  <si>
    <t>33 Years, 3 Months, 9 Days</t>
  </si>
  <si>
    <t>62* v RCB</t>
  </si>
  <si>
    <t>5/16 v DCH</t>
  </si>
  <si>
    <t>Deepak Chahar</t>
  </si>
  <si>
    <t>https://sports.ndtv.com/cricket/players/60022-deepak-lokandersingh-chahar-playerprofile</t>
  </si>
  <si>
    <t>Deepak Lokandersingh Chahar</t>
  </si>
  <si>
    <t>August 7, 1992 Agra, Uttar Pradesh</t>
  </si>
  <si>
    <t>29 Years, 7 Months, 8 Days</t>
  </si>
  <si>
    <t>39 v PBKS</t>
  </si>
  <si>
    <t>4/13 v PBKS</t>
  </si>
  <si>
    <t>MS Dhoni</t>
  </si>
  <si>
    <t>https://sports.ndtv.com/cricket/players/700-ms-dhoni-playerprofile</t>
  </si>
  <si>
    <t>Mahendra Singh Dhoni</t>
  </si>
  <si>
    <t>July 7, 1981 Ranchi, Bihar (now Jharkhand)</t>
  </si>
  <si>
    <t>40 Years, 8 Months, 8 Days</t>
  </si>
  <si>
    <t>84* v RCB</t>
  </si>
  <si>
    <t>Moeen Ali</t>
  </si>
  <si>
    <t>https://sports.ndtv.com/cricket/players/42413-moeen-munir-ali-playerprofile</t>
  </si>
  <si>
    <t>Moeen Munir Ali</t>
  </si>
  <si>
    <t>June 18, 1987 Birmingham, Warwickshire</t>
  </si>
  <si>
    <t>34 Years, 8 Months, 28 Days</t>
  </si>
  <si>
    <t>66 v KKR</t>
  </si>
  <si>
    <t>3/7 v RR</t>
  </si>
  <si>
    <t>Ambati Rayudu</t>
  </si>
  <si>
    <t>https://sports.ndtv.com/cricket/players/1003-ambati-rayudu-playerprofile</t>
  </si>
  <si>
    <t>Ambati Thirupathi Rayudu</t>
  </si>
  <si>
    <t>September 23, 1985 Guntur,Andhra Pradesh</t>
  </si>
  <si>
    <t>36 Years, 5 Months, 22 Days</t>
  </si>
  <si>
    <t>100* v SRH</t>
  </si>
  <si>
    <t>Ruturaj Gaikwad</t>
  </si>
  <si>
    <t>https://sports.ndtv.com/cricket/players/108591-ruturaj-gaikwad-playerprofile</t>
  </si>
  <si>
    <t>Ruturaj Dashrat Gaikwad</t>
  </si>
  <si>
    <t>January 31, 1997 Pune, Maharashtra</t>
  </si>
  <si>
    <t>25 Years, 1 Months, 12 Days</t>
  </si>
  <si>
    <t>Dwayne Bravo</t>
  </si>
  <si>
    <t>https://sports.ndtv.com/cricket/players/626-dwayne-bravo-playerprofile</t>
  </si>
  <si>
    <t>Dwayne John Bravo</t>
  </si>
  <si>
    <t>October 7, 1983 Santa Cruz, Trinidad</t>
  </si>
  <si>
    <t>38 Years, 5 Months, 9 Days</t>
  </si>
  <si>
    <t>70* v PBKS</t>
  </si>
  <si>
    <t>4/22 v PBKS</t>
  </si>
  <si>
    <t>Shivam Dube</t>
  </si>
  <si>
    <t>https://sports.ndtv.com/cricket/players/107521-shivam-dubey-playerprofile</t>
  </si>
  <si>
    <t>June 26, 1993 Mumbai</t>
  </si>
  <si>
    <t>28 Years, 8 Months, 19 Days</t>
  </si>
  <si>
    <t>64* v CSK</t>
  </si>
  <si>
    <t>2/15 v SRH</t>
  </si>
  <si>
    <t>Chris Jordan</t>
  </si>
  <si>
    <t>https://sports.ndtv.com/cricket/players/1573-chris-jordan-playerprofile</t>
  </si>
  <si>
    <t>Christopher James Jordan</t>
  </si>
  <si>
    <t>October 4, 1988 Barbados</t>
  </si>
  <si>
    <t>33 Years, 5 Months, 11 Days</t>
  </si>
  <si>
    <t>30 v KKR</t>
  </si>
  <si>
    <t>4/11 v GL</t>
  </si>
  <si>
    <t>Robin Uthappa</t>
  </si>
  <si>
    <t>https://sports.ndtv.com/cricket/players/738-robin-uthappa-playerprofile</t>
  </si>
  <si>
    <t>Robin Venu Uthappa</t>
  </si>
  <si>
    <t>November 11, 1985 Coorg, Karnataka</t>
  </si>
  <si>
    <t>36 Years, 4 Months, 4 Days</t>
  </si>
  <si>
    <t>87 v RPS</t>
  </si>
  <si>
    <t>Mitchell Santner</t>
  </si>
  <si>
    <t>https://sports.ndtv.com/cricket/players/51086-mitchell-josef-santner-playerprofile</t>
  </si>
  <si>
    <t>Mitchell Josef Santner</t>
  </si>
  <si>
    <t>February 5, 1992 Hamilton</t>
  </si>
  <si>
    <t>30 Years, 1 Months, 8 Days</t>
  </si>
  <si>
    <t>22 v MI</t>
  </si>
  <si>
    <t>2/13 v MI</t>
  </si>
  <si>
    <t>Adam Milne</t>
  </si>
  <si>
    <t>https://sports.ndtv.com/cricket/players/1510-adam-milne-playerprofile</t>
  </si>
  <si>
    <t>Adam Fraser Milne</t>
  </si>
  <si>
    <t>April 13, 1992 Palmerston North</t>
  </si>
  <si>
    <t>29 Years, 11 Months, 2 Days</t>
  </si>
  <si>
    <t>15 v CSK</t>
  </si>
  <si>
    <t>2/21 v CSK</t>
  </si>
  <si>
    <t>Rajvardhan Hangargekar</t>
  </si>
  <si>
    <t>https://sports.ndtv.com/cricket/players/114985-rajvardhan-hangargekar-playerprofile</t>
  </si>
  <si>
    <t>Rajvardhan S Hangargekar</t>
  </si>
  <si>
    <t>November 10, 2002 Tuljapur, Maharashtra</t>
  </si>
  <si>
    <t>19 Years, 4 Months, 5 Days</t>
  </si>
  <si>
    <t>Prashant Solanki</t>
  </si>
  <si>
    <t>https://sports.ndtv.com/cricket/players/115325-prashant-solanki-playerprofile</t>
  </si>
  <si>
    <t>Prashant Hitesh Solanki</t>
  </si>
  <si>
    <t>22 Years, 0 Months, 22 Days</t>
  </si>
  <si>
    <t>Devon Conway</t>
  </si>
  <si>
    <t>https://sports.ndtv.com/cricket/players/45400-devon-philip-conway-playerprofile</t>
  </si>
  <si>
    <t>Devon Philip Conway</t>
  </si>
  <si>
    <t>July 8, 1991 Johannesburg, Transvaal</t>
  </si>
  <si>
    <t>30 Years, 8 Months, 8 Days</t>
  </si>
  <si>
    <t>Maheesh Theekshana</t>
  </si>
  <si>
    <t>https://sports.ndtv.com/cricket/players/113459-maheesh-theekshana-playerprofile</t>
  </si>
  <si>
    <t>Morawakage Maheesh Theekshana</t>
  </si>
  <si>
    <t>August 1, 2000 Colombo</t>
  </si>
  <si>
    <t>21 Years, 7 Months, 14 Days</t>
  </si>
  <si>
    <t>Dwaine Pretorius</t>
  </si>
  <si>
    <t>https://sports.ndtv.com/cricket/players/1603-dwaine-pretorius-playerprofile</t>
  </si>
  <si>
    <t>Narayan Jagadeesan</t>
  </si>
  <si>
    <t>https://sports.ndtv.com/cricket/players/108567-narayan-jagadeesan-playerprofile</t>
  </si>
  <si>
    <t>December 24, 1995 Coimbatore, Tamil Nadu</t>
  </si>
  <si>
    <t>26 Years, 2 Months, 23 Days</t>
  </si>
  <si>
    <t>33 v RCB</t>
  </si>
  <si>
    <t>KM Asif</t>
  </si>
  <si>
    <t>https://sports.ndtv.com/cricket/players/108603-km-asif-playerprofile</t>
  </si>
  <si>
    <t>July 24, 1993 Edavanna,Malappuram</t>
  </si>
  <si>
    <t>28 Years, 7 Months, 22 Days</t>
  </si>
  <si>
    <t>2/43 v DC</t>
  </si>
  <si>
    <t>Tushar Deshpande</t>
  </si>
  <si>
    <t>https://sports.ndtv.com/cricket/players/107528-tushar-deshpande-playerprofile</t>
  </si>
  <si>
    <t>Tushar Uday Deshpande</t>
  </si>
  <si>
    <t>May 15, 1995 Mumbai</t>
  </si>
  <si>
    <t>26 Years, 10 Months, 1 Days</t>
  </si>
  <si>
    <t>20* v SRH</t>
  </si>
  <si>
    <t>2/37 v RR</t>
  </si>
  <si>
    <t>Subhranshu Senapati</t>
  </si>
  <si>
    <t>https://sports.ndtv.com/cricket/players/113463-subhranshu-senapati-playerprofile</t>
  </si>
  <si>
    <t>Subhranshu Pradeep Senapati</t>
  </si>
  <si>
    <t>December 30, 1996 Keonijhar, Orissa</t>
  </si>
  <si>
    <t>25 Years, 2 Months, 16 Days</t>
  </si>
  <si>
    <t>Bhagath Varma</t>
  </si>
  <si>
    <t>https://sports.ndtv.com/cricket/players/113485-k-bhagath-varma-playerprofile</t>
  </si>
  <si>
    <t>Kanumuri Bhagath Varma</t>
  </si>
  <si>
    <t>September 21, 1998 Hyderabad, Andrha Pradesh</t>
  </si>
  <si>
    <t>23 Years, 5 Months, 24 Days</t>
  </si>
  <si>
    <t>Simarjeet Singh</t>
  </si>
  <si>
    <t>https://sports.ndtv.com/cricket/players/113456-simarjeet-singh-playerprofile</t>
  </si>
  <si>
    <t>January 17, 1998 Delhi</t>
  </si>
  <si>
    <t>24 Years, 1 Months, 26 Days</t>
  </si>
  <si>
    <t>Hari Nishaanth</t>
  </si>
  <si>
    <t>https://sports.ndtv.com/cricket/players/113431-c-hari-nishanth-playerprofile</t>
  </si>
  <si>
    <t>Chezhian Nishaanth</t>
  </si>
  <si>
    <t>August 16, 1996 Ooty (now Udagamandalam), Tamil Nadu</t>
  </si>
  <si>
    <t>25 Years, 7 Months, -1 Days</t>
  </si>
  <si>
    <t>Mukesh Choudhary</t>
  </si>
  <si>
    <t>https://sports.ndtv.com/cricket/players/113453-mukesh-choudhary-playerprofile</t>
  </si>
  <si>
    <t>July 6, 1996 Pardodas, Bhilwara, Rajsthan</t>
  </si>
  <si>
    <t>25 Years, 8 Months, 9 Days</t>
  </si>
  <si>
    <t>Shreyas Iyer</t>
  </si>
  <si>
    <t>KKR</t>
  </si>
  <si>
    <t>https://sports.ndtv.com/cricket/players/64384-shreyas-santosh-iyer-playerprofile</t>
  </si>
  <si>
    <t>Shreyas Santosh Iyer</t>
  </si>
  <si>
    <t>December 6, 1994 Mumbai</t>
  </si>
  <si>
    <t>27 Years, 3 Months, 9 Days</t>
  </si>
  <si>
    <t>96 v GL</t>
  </si>
  <si>
    <t>Andre Russell</t>
  </si>
  <si>
    <t>https://sports.ndtv.com/cricket/players/1536-andre-russell-playerprofile</t>
  </si>
  <si>
    <t>Andre Dwayne Russell</t>
  </si>
  <si>
    <t>April 29, 1988 Jamaica</t>
  </si>
  <si>
    <t>33 Years, 10 Months, 16 Days</t>
  </si>
  <si>
    <t>88* v CSK</t>
  </si>
  <si>
    <t>5/15 v MI</t>
  </si>
  <si>
    <t>Nitish Rana</t>
  </si>
  <si>
    <t>https://sports.ndtv.com/cricket/players/64080-nitish-rana-playerprofile</t>
  </si>
  <si>
    <t>December 27, 1993 Delhi</t>
  </si>
  <si>
    <t>28 Years, 2 Months, 19 Days</t>
  </si>
  <si>
    <t>87 v CSK</t>
  </si>
  <si>
    <t>2/11 v RCB</t>
  </si>
  <si>
    <t>Varun Chakravarthy</t>
  </si>
  <si>
    <t>https://sports.ndtv.com/cricket/players/110973-varun-chakravarthy-playerprofile</t>
  </si>
  <si>
    <t>Varun Chakravarthy Vinod</t>
  </si>
  <si>
    <t>August 29, 1991 Bidar, Karnataka</t>
  </si>
  <si>
    <t>30 Years, 6 Months, 18 Days</t>
  </si>
  <si>
    <t>7* v RCB</t>
  </si>
  <si>
    <t>5/20 v DC</t>
  </si>
  <si>
    <t>Venkatesh Iyer</t>
  </si>
  <si>
    <t>https://sports.ndtv.com/cricket/players/110573-venkatesh-iyer-playerprofile</t>
  </si>
  <si>
    <t>Venkatesh Rajasekaran Iyer</t>
  </si>
  <si>
    <t>December 25, 1994 Indore, Madhya Pradesh</t>
  </si>
  <si>
    <t>27 Years, 2 Months, 21 Days</t>
  </si>
  <si>
    <t>67 v PBKS</t>
  </si>
  <si>
    <t>2/29 v DC</t>
  </si>
  <si>
    <t>Shivam Mavi</t>
  </si>
  <si>
    <t>https://sports.ndtv.com/cricket/players/108563-shivam-mavi-playerprofile</t>
  </si>
  <si>
    <t>Shivam Pankaj Mavi</t>
  </si>
  <si>
    <t>November 26, 1998 Noida, Uttar Pradesh</t>
  </si>
  <si>
    <t>23 Years, 3 Months, 19 Days</t>
  </si>
  <si>
    <t>20 v CSK</t>
  </si>
  <si>
    <t>4/21 v RR</t>
  </si>
  <si>
    <t>Pat Cummins</t>
  </si>
  <si>
    <t>https://sports.ndtv.com/cricket/players/1656-pat-cummins-playerprofile</t>
  </si>
  <si>
    <t>Patrick James Cummins</t>
  </si>
  <si>
    <t>May 8, 1993 Westmead, Sydney</t>
  </si>
  <si>
    <t>28 Years, 10 Months, 7 Days</t>
  </si>
  <si>
    <t>66* v CSK</t>
  </si>
  <si>
    <t>4/34 v RR</t>
  </si>
  <si>
    <t>Sunil Narine</t>
  </si>
  <si>
    <t>https://sports.ndtv.com/cricket/players/1456-sunil-narine-playerprofile</t>
  </si>
  <si>
    <t>Sunil Philip Narine</t>
  </si>
  <si>
    <t>May 26, 1988 Arima</t>
  </si>
  <si>
    <t>33 Years, 9 Months, 20 Days</t>
  </si>
  <si>
    <t>75 v PBKS</t>
  </si>
  <si>
    <t>Umesh Yadav</t>
  </si>
  <si>
    <t>https://sports.ndtv.com/cricket/players/1258-umesh-yadav-playerprofile</t>
  </si>
  <si>
    <t>Umeshkumar Tilak Yadav</t>
  </si>
  <si>
    <t>October 25, 1987 Nagpur, Maharashtra</t>
  </si>
  <si>
    <t>34 Years, 4 Months, 22 Days</t>
  </si>
  <si>
    <t>24* v RR</t>
  </si>
  <si>
    <t>4/24 v RR</t>
  </si>
  <si>
    <t>Sam Billings</t>
  </si>
  <si>
    <t>https://sports.ndtv.com/cricket/players/51406-samuel-william-billings-playerprofile</t>
  </si>
  <si>
    <t>Samuel William Billings</t>
  </si>
  <si>
    <t>June 15, 1991 Pembury, Kent</t>
  </si>
  <si>
    <t>30 Years, 9 Months, 1 Days</t>
  </si>
  <si>
    <t>56 v KKR</t>
  </si>
  <si>
    <t>Tim Southee</t>
  </si>
  <si>
    <t>https://sports.ndtv.com/cricket/players/1032-tim-southee-playerprofile</t>
  </si>
  <si>
    <t>Timothy Grant Southee</t>
  </si>
  <si>
    <t>December 11, 1988 Whangarei, Northland</t>
  </si>
  <si>
    <t>33 Years, 3 Months, 4 Days</t>
  </si>
  <si>
    <t>Alex Hales</t>
  </si>
  <si>
    <t>https://sports.ndtv.com/cricket/players/1562-alex-hales-playerprofile</t>
  </si>
  <si>
    <t>Alexander Daniel Hales</t>
  </si>
  <si>
    <t>January 3, 1989 Hillingdon, Middlesex</t>
  </si>
  <si>
    <t>33 Years, 2 Months, 12 Days</t>
  </si>
  <si>
    <t>45 v DC</t>
  </si>
  <si>
    <t>Mohammad Nabi</t>
  </si>
  <si>
    <t>https://sports.ndtv.com/cricket/players/1313-mohammad-nabi-playerprofile</t>
  </si>
  <si>
    <t>January 1, 1985 Loger, Afghanistan</t>
  </si>
  <si>
    <t>37 Years, 2 Months, 14 Days</t>
  </si>
  <si>
    <t>31 v MI</t>
  </si>
  <si>
    <t>4/11 v RCB</t>
  </si>
  <si>
    <t>Ajinkya Rahane</t>
  </si>
  <si>
    <t>https://sports.ndtv.com/cricket/players/965-ajinkya-rahane-playerprofile</t>
  </si>
  <si>
    <t>Ajinkya Madhukar Rahane</t>
  </si>
  <si>
    <t>June 6, 1988 Ashwi-KD,Maharashtra</t>
  </si>
  <si>
    <t>33 Years, 9 Months, 9 Days</t>
  </si>
  <si>
    <t>105* v DC</t>
  </si>
  <si>
    <t>1/5 v PBKS</t>
  </si>
  <si>
    <t>Sheldon Jackson</t>
  </si>
  <si>
    <t>https://sports.ndtv.com/cricket/players/27641-sheldon-philip-jackson-playerprofile</t>
  </si>
  <si>
    <t>Rinku Singh</t>
  </si>
  <si>
    <t>https://sports.ndtv.com/cricket/players/106742-rinku-singh-playerprofile</t>
  </si>
  <si>
    <t>Rinku Khanchand Singh</t>
  </si>
  <si>
    <t>October 12, 1997 Aligarh, Uttar Pradesh</t>
  </si>
  <si>
    <t>24 Years, 5 Months, 3 Days</t>
  </si>
  <si>
    <t>30 v SRH</t>
  </si>
  <si>
    <t>Ashok Sharma</t>
  </si>
  <si>
    <t>https://sports.ndtv.com/cricket/players/115359-ashok-sharma-playerprofile</t>
  </si>
  <si>
    <t>19 Years, 8 Months, 28 Days</t>
  </si>
  <si>
    <t>Chamika Karunaratne</t>
  </si>
  <si>
    <t>https://sports.ndtv.com/cricket/players/64316-chamika-karunaratne-playerprofile</t>
  </si>
  <si>
    <t>25 Years, 9 Months, 17 Days</t>
  </si>
  <si>
    <t>Abhijeet Tomar</t>
  </si>
  <si>
    <t>https://sports.ndtv.com/cricket/players/108580-abhijeet-tomar-playerprofile</t>
  </si>
  <si>
    <t>March 14, 1995 Jaipur, Rajasthan</t>
  </si>
  <si>
    <t>27 Years, 0 Months, 2 Days</t>
  </si>
  <si>
    <t>Anukul Roy</t>
  </si>
  <si>
    <t>https://sports.ndtv.com/cricket/players/108575-anukul-roy-playerprofile</t>
  </si>
  <si>
    <t>Anukul Sudhakar Roy</t>
  </si>
  <si>
    <t>November 30, 1998 Saraikela Kharswan, Jharkhand</t>
  </si>
  <si>
    <t>23 Years, 3 Months, 15 Days</t>
  </si>
  <si>
    <t>1/11 v CSK</t>
  </si>
  <si>
    <t>Pratham Singh</t>
  </si>
  <si>
    <t>https://sports.ndtv.com/cricket/players/107537-pratham-singh-playerprofile</t>
  </si>
  <si>
    <t>August 31, 1992 Delhi</t>
  </si>
  <si>
    <t>29 Years, 6 Months, 15 Days</t>
  </si>
  <si>
    <t>Rasikh Dar</t>
  </si>
  <si>
    <t>https://sports.ndtv.com/cricket/players/110974-rasikh-salam-playerprofile</t>
  </si>
  <si>
    <t>Rasikh Salam Dar</t>
  </si>
  <si>
    <t>20 Years, 11 Months, 10 Days</t>
  </si>
  <si>
    <t>5* v DC</t>
  </si>
  <si>
    <t>0/42 v DC</t>
  </si>
  <si>
    <t>Ramesh Kumar</t>
  </si>
  <si>
    <t>https://sports.ndtv.com/cricket/players/115360-ramesh-kumar-playerprofile</t>
  </si>
  <si>
    <t>23 Years, 2 Months, 14 Days</t>
  </si>
  <si>
    <t>Aman Khan</t>
  </si>
  <si>
    <t>https://sports.ndtv.com/cricket/players/115300-aman-khan-playerprofile</t>
  </si>
  <si>
    <t>Aman Hakim Khan</t>
  </si>
  <si>
    <t>25 Years, 3 Months, 22 Days</t>
  </si>
  <si>
    <t>Baba Indrajith</t>
  </si>
  <si>
    <t>https://sports.ndtv.com/cricket/players/64703-baba-indrajith-playerprofile</t>
  </si>
  <si>
    <t>July 8, 1994 Madras (now Chennai)</t>
  </si>
  <si>
    <t>27 Years, 8 Months, 7 Days</t>
  </si>
  <si>
    <t>Rishabh Pant</t>
  </si>
  <si>
    <t>DC</t>
  </si>
  <si>
    <t>https://sports.ndtv.com/cricket/players/107048-rishabh-pant-playerprofile</t>
  </si>
  <si>
    <t>Rishabh Rajendra Pant</t>
  </si>
  <si>
    <t>October 4, 1997 Haridwar, Uttarakhand</t>
  </si>
  <si>
    <t>24 Years, 5 Months, 11 Days</t>
  </si>
  <si>
    <t>128* v SRH</t>
  </si>
  <si>
    <t>Shardul Thakur</t>
  </si>
  <si>
    <t>https://sports.ndtv.com/cricket/players/63779-shardul-narendra-thakur-playerprofile</t>
  </si>
  <si>
    <t>Shardul Narendra Thakur</t>
  </si>
  <si>
    <t>October 16, 1991 Palghar, Maharashtra</t>
  </si>
  <si>
    <t>30 Years, 5 Months, 0 Days</t>
  </si>
  <si>
    <t>15* v SRH</t>
  </si>
  <si>
    <t>3/19 v PBKS</t>
  </si>
  <si>
    <t>Axar Patel</t>
  </si>
  <si>
    <t>https://sports.ndtv.com/cricket/players/63024-akshar-rajeshbhai-patel-playerprofile</t>
  </si>
  <si>
    <t>Axar Rajeshbhai Patel</t>
  </si>
  <si>
    <t>January 20, 1994 Anand, Gujarat</t>
  </si>
  <si>
    <t>28 Years, 1 Months, 23 Days</t>
  </si>
  <si>
    <t>44 v DC</t>
  </si>
  <si>
    <t>4/21 v GL</t>
  </si>
  <si>
    <t>Prithvi Shaw</t>
  </si>
  <si>
    <t>https://sports.ndtv.com/cricket/players/107533-prithvi-shaw-playerprofile</t>
  </si>
  <si>
    <t>Prithvi Pankaj Shaw</t>
  </si>
  <si>
    <t>November 9, 1999 Thane, Maharashtra</t>
  </si>
  <si>
    <t>22 Years, 4 Months, 7 Days</t>
  </si>
  <si>
    <t>99 v KKR</t>
  </si>
  <si>
    <t>Mitchell Marsh</t>
  </si>
  <si>
    <t>https://sports.ndtv.com/cricket/players/1425-mitchell-marsh-playerprofile</t>
  </si>
  <si>
    <t>Mitchell Ross Marsh</t>
  </si>
  <si>
    <t>October 20, 1991 Attadale, Perth</t>
  </si>
  <si>
    <t>30 Years, 4 Months, 27 Days</t>
  </si>
  <si>
    <t>38 v MI</t>
  </si>
  <si>
    <t>4/25 v DCH</t>
  </si>
  <si>
    <t>Anrich Nortje</t>
  </si>
  <si>
    <t>https://sports.ndtv.com/cricket/players/64072-anrich-nortje-playerprofile</t>
  </si>
  <si>
    <t>Anrich Arno Nortje</t>
  </si>
  <si>
    <t>28 Years, 4 Months, -1 Days</t>
  </si>
  <si>
    <t>3* v PBKS</t>
  </si>
  <si>
    <t>3/33 v KKR</t>
  </si>
  <si>
    <t>David Warner</t>
  </si>
  <si>
    <t>https://sports.ndtv.com/cricket/players/1285-david-warner-playerprofile</t>
  </si>
  <si>
    <t>David Andrew Warner</t>
  </si>
  <si>
    <t>October 27, 1986 Paddington, New South Wales</t>
  </si>
  <si>
    <t>35 Years, 4 Months, 19 Days</t>
  </si>
  <si>
    <t>126 v KKR</t>
  </si>
  <si>
    <t>0/2 v DC</t>
  </si>
  <si>
    <t>Khaleel Ahmed</t>
  </si>
  <si>
    <t>https://sports.ndtv.com/cricket/players/107233-khaleel-ahmed-playerprofile</t>
  </si>
  <si>
    <t>Khaleel Khursheed Ahmed</t>
  </si>
  <si>
    <t>December 5, 1997 Tonk, Rajasthan</t>
  </si>
  <si>
    <t>24 Years, 3 Months, 10 Days</t>
  </si>
  <si>
    <t>1 v MI</t>
  </si>
  <si>
    <t>3/21 v PBKS</t>
  </si>
  <si>
    <t>Chetan Sakariya</t>
  </si>
  <si>
    <t>https://sports.ndtv.com/cricket/players/110598-chetan-sakariya-playerprofile</t>
  </si>
  <si>
    <t>February 28, 1998 Bhavnagar</t>
  </si>
  <si>
    <t>24 Years, 0 Months, 15 Days</t>
  </si>
  <si>
    <t>7 v PBKS</t>
  </si>
  <si>
    <t>3/31 v PBKS</t>
  </si>
  <si>
    <t>Rovman Powell</t>
  </si>
  <si>
    <t>https://sports.ndtv.com/cricket/players/107485-rovman-powell-playerprofile</t>
  </si>
  <si>
    <t>28 Years, 7 Months, 23 Days</t>
  </si>
  <si>
    <t>Kuldeep Yadav</t>
  </si>
  <si>
    <t>https://sports.ndtv.com/cricket/players/63624-kuldeep-yadav-playerprofile</t>
  </si>
  <si>
    <t>December 14, 1994 Kanpur, Uttar Pradesh</t>
  </si>
  <si>
    <t>27 Years, 3 Months, 1 Days</t>
  </si>
  <si>
    <t>Slow left-arm chinaman</t>
  </si>
  <si>
    <t>16 v MI</t>
  </si>
  <si>
    <t>4/20 v RR</t>
  </si>
  <si>
    <t>Srikar Bharat</t>
  </si>
  <si>
    <t>https://sports.ndtv.com/cricket/players/60643-kona-srikar-bharat-playerprofile</t>
  </si>
  <si>
    <t>Kona Srikar Bharat</t>
  </si>
  <si>
    <t>October 3, 1993 Visakhapatnam, Andhra Pradesh</t>
  </si>
  <si>
    <t>28 Years, 5 Months, 12 Days</t>
  </si>
  <si>
    <t>78* v DC</t>
  </si>
  <si>
    <t>Mustafizur Rahman</t>
  </si>
  <si>
    <t>https://sports.ndtv.com/cricket/players/64306-mustafizur-rahman-playerprofile</t>
  </si>
  <si>
    <t>September 6, 1995 Satkhira</t>
  </si>
  <si>
    <t>26 Years, 6 Months, 10 Days</t>
  </si>
  <si>
    <t>Bangladesh</t>
  </si>
  <si>
    <t>8* v MI</t>
  </si>
  <si>
    <t>Kamlesh Nagarkoti</t>
  </si>
  <si>
    <t>https://sports.ndtv.com/cricket/players/108584-kamlesh-nagarkoti-playerprofile</t>
  </si>
  <si>
    <t>Kamlesh Lachham Nagarkoti</t>
  </si>
  <si>
    <t>December 28, 1999 Barmer, Rajasthan</t>
  </si>
  <si>
    <t>22 Years, 2 Months, 19 Days</t>
  </si>
  <si>
    <t>8* v RR</t>
  </si>
  <si>
    <t>2/13 v RR</t>
  </si>
  <si>
    <t>Mandeep Singh</t>
  </si>
  <si>
    <t>https://sports.ndtv.com/cricket/players/1429-mandeep-singh-playerprofile</t>
  </si>
  <si>
    <t>December 18, 1991 Jalandhar, Punjab</t>
  </si>
  <si>
    <t>30 Years, 2 Months, 29 Days</t>
  </si>
  <si>
    <t>77* v PWI</t>
  </si>
  <si>
    <t>0/8 v RR</t>
  </si>
  <si>
    <t>Lalit Yadav</t>
  </si>
  <si>
    <t>https://sports.ndtv.com/cricket/players/108549-lalit-yadav-playerprofile</t>
  </si>
  <si>
    <t>January 3, 1997 Delhi</t>
  </si>
  <si>
    <t>25 Years, 2 Months, 12 Days</t>
  </si>
  <si>
    <t>22* v MI</t>
  </si>
  <si>
    <t>2/13 v KKR</t>
  </si>
  <si>
    <t>Yash Dhull</t>
  </si>
  <si>
    <t>https://sports.ndtv.com/cricket/players/114978-yash-dhull-playerprofile</t>
  </si>
  <si>
    <t>Yash Vijay Dhull</t>
  </si>
  <si>
    <t>19 Years, 4 Months, 4 Days</t>
  </si>
  <si>
    <t>Lungi Ngidi</t>
  </si>
  <si>
    <t>https://sports.ndtv.com/cricket/players/64640-lungisani-ngidi-playerprofile</t>
  </si>
  <si>
    <t>Lungisani True-man Ngidi</t>
  </si>
  <si>
    <t>March 29, 1996 Durban, Natal</t>
  </si>
  <si>
    <t>25 Years, 11 Months, 17 Days</t>
  </si>
  <si>
    <t>4/10 v PBKS</t>
  </si>
  <si>
    <t>Tim Seifert</t>
  </si>
  <si>
    <t>https://sports.ndtv.com/cricket/players/64292-tim-l-seifert-playerprofile</t>
  </si>
  <si>
    <t>Tim Louis Seifert</t>
  </si>
  <si>
    <t>December 14, 1994 Wanganui</t>
  </si>
  <si>
    <t>2 v PBKS</t>
  </si>
  <si>
    <t>Pravin Dubey</t>
  </si>
  <si>
    <t>https://sports.ndtv.com/cricket/players/63981-praveen-dubey-playerprofile</t>
  </si>
  <si>
    <t>July 1, 1993 Azamgarh, Uttar Pradesh</t>
  </si>
  <si>
    <t>28 Years, 8 Months, 14 Days</t>
  </si>
  <si>
    <t>7* v MI</t>
  </si>
  <si>
    <t>0/14 v SRH</t>
  </si>
  <si>
    <t>Ashwin Hebbar</t>
  </si>
  <si>
    <t>https://sports.ndtv.com/cricket/players/110570-ashwin-hebbar-playerprofile</t>
  </si>
  <si>
    <t>Kattingeri Ashwin Hebbar</t>
  </si>
  <si>
    <t>November 15, 1995 Nellore, Andhra Pradesh</t>
  </si>
  <si>
    <t>26 Years, 4 Months, 1 Days</t>
  </si>
  <si>
    <t>Ripal Patel</t>
  </si>
  <si>
    <t>https://sports.ndtv.com/cricket/players/113434-ripal-patel-playerprofile</t>
  </si>
  <si>
    <t>Ripal Vinubhai Patel</t>
  </si>
  <si>
    <t>September 28, 1995 Nadiad</t>
  </si>
  <si>
    <t>26 Years, 5 Months, 18 Days</t>
  </si>
  <si>
    <t>18 v CSK</t>
  </si>
  <si>
    <t>0/22 v RCB</t>
  </si>
  <si>
    <t>Vicky Ostwal</t>
  </si>
  <si>
    <t>https://sports.ndtv.com/cricket/players/114987-vicky-ostwal-playerprofile</t>
  </si>
  <si>
    <t>Vicky Kanhaiya Ostwal</t>
  </si>
  <si>
    <t>19 Years, 6 Months, 14 Days</t>
  </si>
  <si>
    <t>Sarfaraz Khan</t>
  </si>
  <si>
    <t>https://sports.ndtv.com/cricket/players/64385-sarfaraz-naushad-khan-playerprofile</t>
  </si>
  <si>
    <t>Sarfaraz Naushad Khan</t>
  </si>
  <si>
    <t>October 22, 1997 Mumbai</t>
  </si>
  <si>
    <t>24 Years, 4 Months, 24 Days</t>
  </si>
  <si>
    <t>67 v CSK</t>
  </si>
  <si>
    <t>0/6 v RCB</t>
  </si>
  <si>
    <t>KL Rahul</t>
  </si>
  <si>
    <t>LSG</t>
  </si>
  <si>
    <t>https://sports.ndtv.com/cricket/players/1688-lokesh-rahul-playerprofile</t>
  </si>
  <si>
    <t xml:space="preserve">Wicket-keeper </t>
  </si>
  <si>
    <t>Kannaur Lokesh Rahul</t>
  </si>
  <si>
    <t>April 18, 1992 Bangalore, Karnataka</t>
  </si>
  <si>
    <t>29 Years, 10 Months, 27 Days</t>
  </si>
  <si>
    <t>132* v RCB</t>
  </si>
  <si>
    <t>Avesh Khan</t>
  </si>
  <si>
    <t>https://sports.ndtv.com/cricket/players/64916-avesh-khan-playerprofile</t>
  </si>
  <si>
    <t>December 13, 1996 Indore, Madhya Pradesh</t>
  </si>
  <si>
    <t>25 Years, 3 Months, 2 Days</t>
  </si>
  <si>
    <t>5 v KKR</t>
  </si>
  <si>
    <t>3/13 v KKR</t>
  </si>
  <si>
    <t>Marcus Stoinis</t>
  </si>
  <si>
    <t>https://sports.ndtv.com/cricket/players/42327-marcus-peter-stoinis-playerprofile</t>
  </si>
  <si>
    <t>Marcus Peter Stoinis</t>
  </si>
  <si>
    <t>August 16, 1989 Perth</t>
  </si>
  <si>
    <t>32 Years, 7 Months, -1 Days</t>
  </si>
  <si>
    <t>65 v MI</t>
  </si>
  <si>
    <t>4/15 v MI</t>
  </si>
  <si>
    <t>Jason Holder</t>
  </si>
  <si>
    <t>https://sports.ndtv.com/cricket/players/1446-jason-holder-playerprofile</t>
  </si>
  <si>
    <t>Jason Omar Holder</t>
  </si>
  <si>
    <t>November 5, 1991 Barbados</t>
  </si>
  <si>
    <t>30 Years, 4 Months, 11 Days</t>
  </si>
  <si>
    <t>47* v PBKS</t>
  </si>
  <si>
    <t>4/52 v MI</t>
  </si>
  <si>
    <t>Krunal Pandya</t>
  </si>
  <si>
    <t>https://sports.ndtv.com/cricket/players/64213-krunal-himashu-pandya-playerprofile</t>
  </si>
  <si>
    <t>Krunal Himashu Pandya</t>
  </si>
  <si>
    <t>March 24, 1991 Ahmedabad, Gujarat</t>
  </si>
  <si>
    <t>30 Years, 11 Months, 23 Days</t>
  </si>
  <si>
    <t>86 v DC</t>
  </si>
  <si>
    <t>3/14 v GL</t>
  </si>
  <si>
    <t>Mark Wood</t>
  </si>
  <si>
    <t>https://sports.ndtv.com/cricket/players/51060-mark-andrew-wood-playerprofile</t>
  </si>
  <si>
    <t>Mark Andrew Wood</t>
  </si>
  <si>
    <t>January 11, 1990 Ashington, Northumberland</t>
  </si>
  <si>
    <t>32 Years, 2 Months, 4 Days</t>
  </si>
  <si>
    <t>0/49 v MI</t>
  </si>
  <si>
    <t>Quinton de Kock</t>
  </si>
  <si>
    <t>https://sports.ndtv.com/cricket/players/1577-quinton-de-kock-playerprofile</t>
  </si>
  <si>
    <t>December 17, 1992 Johannesburg, Gauteng</t>
  </si>
  <si>
    <t>29 Years, 2 Months, 29 Days</t>
  </si>
  <si>
    <t>108 v RCB</t>
  </si>
  <si>
    <t>Deepak Hooda</t>
  </si>
  <si>
    <t>https://sports.ndtv.com/cricket/players/64174-deepak-jagbir-hooda-playerprofile</t>
  </si>
  <si>
    <t>Deepak Jagbir Hooda</t>
  </si>
  <si>
    <t>April 19, 1995 Rohtak</t>
  </si>
  <si>
    <t>26 Years, 10 Months, 27 Days</t>
  </si>
  <si>
    <t>64 v RR</t>
  </si>
  <si>
    <t>2/16 v KKR</t>
  </si>
  <si>
    <t>Manish Pandey</t>
  </si>
  <si>
    <t>https://sports.ndtv.com/cricket/players/1045-manish-pandey-playerprofile</t>
  </si>
  <si>
    <t>Manish Krishnanand Pandey</t>
  </si>
  <si>
    <t>September 10, 1989 Nainital, Uttaranchal</t>
  </si>
  <si>
    <t>32 Years, 6 Months, 5 Days</t>
  </si>
  <si>
    <t>114* v DCH</t>
  </si>
  <si>
    <t>Ravi Bishnoi</t>
  </si>
  <si>
    <t>https://sports.ndtv.com/cricket/players/112652-ravi-bishnoi-playerprofile</t>
  </si>
  <si>
    <t>September 5, 2000 Jodhpur, Rajasthan</t>
  </si>
  <si>
    <t>21 Years, 6 Months, 10 Days</t>
  </si>
  <si>
    <t>6* v SRH</t>
  </si>
  <si>
    <t>Evin Lewis</t>
  </si>
  <si>
    <t>https://sports.ndtv.com/cricket/players/1682-evin-lewis-playerprofile</t>
  </si>
  <si>
    <t>Dushmantha Chameera</t>
  </si>
  <si>
    <t>https://sports.ndtv.com/cricket/players/51217-pathira-vasan-dushmantha-chameera-playerprofile</t>
  </si>
  <si>
    <t>Pathira Vasan Dushmantha Chameera</t>
  </si>
  <si>
    <t>January 11, 1992 Ragama</t>
  </si>
  <si>
    <t>30 Years, 2 Months, 5 Days</t>
  </si>
  <si>
    <t>Krishnappa Gowtham</t>
  </si>
  <si>
    <t>https://sports.ndtv.com/cricket/players/61268-krishnappa-gowtham-playerprofile</t>
  </si>
  <si>
    <t>October 20, 1988 Bangalore, Karnataka</t>
  </si>
  <si>
    <t>33 Years, 4 Months, 26 Days</t>
  </si>
  <si>
    <t>33* v MI</t>
  </si>
  <si>
    <t>2/12 v PBKS</t>
  </si>
  <si>
    <t>Kyle Mayers</t>
  </si>
  <si>
    <t>https://sports.ndtv.com/cricket/players/50992-kyle-r-mayers-playerprofile</t>
  </si>
  <si>
    <t>Kyle Rico Mayers</t>
  </si>
  <si>
    <t>September 8, 1992 Barbados</t>
  </si>
  <si>
    <t>29 Years, 6 Months, 7 Days</t>
  </si>
  <si>
    <t>Shahbaz Nadeem</t>
  </si>
  <si>
    <t>https://sports.ndtv.com/cricket/players/1395-shahbaz-nadeem-playerprofile</t>
  </si>
  <si>
    <t>August 12, 1989 Bokaro, Bihar, India</t>
  </si>
  <si>
    <t>32 Years, 7 Months, 3 Days</t>
  </si>
  <si>
    <t>6 v PWI</t>
  </si>
  <si>
    <t>3/16 v DCH</t>
  </si>
  <si>
    <t>Ankit Rajpoot</t>
  </si>
  <si>
    <t>https://sports.ndtv.com/cricket/players/1717-ankit-rajpoot-playerprofile</t>
  </si>
  <si>
    <t>Ankit Singh Rajpoot</t>
  </si>
  <si>
    <t>December 4, 1993 Kanpur</t>
  </si>
  <si>
    <t>28 Years, 3 Months, 11 Days</t>
  </si>
  <si>
    <t>8 v SRH</t>
  </si>
  <si>
    <t>5/14 v SRH</t>
  </si>
  <si>
    <t>Mohsin Khan</t>
  </si>
  <si>
    <t>https://sports.ndtv.com/cricket/players/110599-mohsin-khan-playerprofile</t>
  </si>
  <si>
    <t>July 15, 1998 Sambhal, Uttar Pradesh</t>
  </si>
  <si>
    <t>23 Years, 8 Months, 0 Days</t>
  </si>
  <si>
    <t>Ayush Badoni</t>
  </si>
  <si>
    <t>https://sports.ndtv.com/cricket/players/113432-ayush-badoni-playerprofile</t>
  </si>
  <si>
    <t>December 3, 1999 Delhi</t>
  </si>
  <si>
    <t>22 Years, 3 Months, 13 Days</t>
  </si>
  <si>
    <t>Karan Sharma</t>
  </si>
  <si>
    <t>https://sports.ndtv.com/cricket/players/113438-karan-sharma-playerprofile</t>
  </si>
  <si>
    <t>23 Years, 4 Months, 15 Days</t>
  </si>
  <si>
    <t>Mayank Yadav</t>
  </si>
  <si>
    <t>https://sports.ndtv.com/cricket/players/115355-mayank-yadav-playerprofile</t>
  </si>
  <si>
    <t>Mayank Prabhu Yadav</t>
  </si>
  <si>
    <t>June 17, 2002 New Delhi</t>
  </si>
  <si>
    <t>Manan Vohra</t>
  </si>
  <si>
    <t>https://sports.ndtv.com/cricket/players/1689-manan-vohra-playerprofile</t>
  </si>
  <si>
    <t>July 18, 1993 Chandigarh, Punjab</t>
  </si>
  <si>
    <t>28 Years, 7 Months, 28 Days</t>
  </si>
  <si>
    <t>95 v SRH</t>
  </si>
  <si>
    <t>Rashid Khan</t>
  </si>
  <si>
    <t>GT</t>
  </si>
  <si>
    <t>https://sports.ndtv.com/cricket/players/107477-rashid-khan-playerprofile</t>
  </si>
  <si>
    <t>Rashid Khan Arman</t>
  </si>
  <si>
    <t>September 20, 1998 Nangarhar</t>
  </si>
  <si>
    <t>23 Years, 5 Months, 25 Days</t>
  </si>
  <si>
    <t>34* v KKR</t>
  </si>
  <si>
    <t>3/7 v DC</t>
  </si>
  <si>
    <t>Hardik Pandya</t>
  </si>
  <si>
    <t>https://sports.ndtv.com/cricket/players/64177-hardik-himanshu-pandya-playerprofile</t>
  </si>
  <si>
    <t>Hardik Himanshu Pandya</t>
  </si>
  <si>
    <t>October 11, 1993 Choryasi, Gujarat</t>
  </si>
  <si>
    <t>28 Years, 5 Months, 4 Days</t>
  </si>
  <si>
    <t>91 v KKR</t>
  </si>
  <si>
    <t>3/20 v CSK</t>
  </si>
  <si>
    <t>Lockie Ferguson</t>
  </si>
  <si>
    <t>https://sports.ndtv.com/cricket/players/64149-lachlan-hammond-ferguson-playerprofile</t>
  </si>
  <si>
    <t>Lachlan Hammond Ferguson</t>
  </si>
  <si>
    <t>June 13, 1991 Auckland</t>
  </si>
  <si>
    <t>30 Years, 9 Months, 3 Days</t>
  </si>
  <si>
    <t>3/15 v SRH</t>
  </si>
  <si>
    <t>Rahul Tewatia</t>
  </si>
  <si>
    <t>https://sports.ndtv.com/cricket/players/64845-rahul-tewatia-playerprofile</t>
  </si>
  <si>
    <t>Shubman Gill</t>
  </si>
  <si>
    <t>https://sports.ndtv.com/cricket/players/108578-shubman-gill-playerprofile</t>
  </si>
  <si>
    <t>September 8, 1999 Fazilka, Punjab</t>
  </si>
  <si>
    <t>22 Years, 6 Months, 8 Days</t>
  </si>
  <si>
    <t>76 v MI</t>
  </si>
  <si>
    <t>Mohammed Shami</t>
  </si>
  <si>
    <t>https://sports.ndtv.com/cricket/players/1580-shami-ahmed-playerprofile</t>
  </si>
  <si>
    <t>Mohammed Shami Ahmed</t>
  </si>
  <si>
    <t>September 3, 1990 Amroha, Uttar Pradesh</t>
  </si>
  <si>
    <t>31 Years, 6 Months, 12 Days</t>
  </si>
  <si>
    <t>21 v RCB</t>
  </si>
  <si>
    <t>3/15 v DC</t>
  </si>
  <si>
    <t>Yash Dayal</t>
  </si>
  <si>
    <t>https://sports.ndtv.com/cricket/players/115307-yash-dayal-playerprofile</t>
  </si>
  <si>
    <t>24 Years, 3 Months, 2 Days</t>
  </si>
  <si>
    <t>Ravisrinivasan Sai Kishore</t>
  </si>
  <si>
    <t>https://sports.ndtv.com/cricket/players/107511-ravisrinivasan-sai-kishore-playerprofile</t>
  </si>
  <si>
    <t>November 6, 1996 Chennai, Tamil Nadu</t>
  </si>
  <si>
    <t>25 Years, 4 Months, 9 Days</t>
  </si>
  <si>
    <t>David Miller</t>
  </si>
  <si>
    <t>https://sports.ndtv.com/cricket/players/1274-david-miller-playerprofile</t>
  </si>
  <si>
    <t>David Andrew Miller</t>
  </si>
  <si>
    <t>June 10, 1989 Pietermaritzburg, Natal</t>
  </si>
  <si>
    <t>32 Years, 9 Months, 5 Days</t>
  </si>
  <si>
    <t>101* v RCB</t>
  </si>
  <si>
    <t>Abhinav Manohar</t>
  </si>
  <si>
    <t>https://sports.ndtv.com/cricket/players/64145-abhinav-manohar-playerprofile</t>
  </si>
  <si>
    <t>Abhinav Manohar Sadarangani</t>
  </si>
  <si>
    <t>September 16, 1994 Bangalore</t>
  </si>
  <si>
    <t>27 Years, 6 Months, -1 Days</t>
  </si>
  <si>
    <t>Alzarri Joseph</t>
  </si>
  <si>
    <t>https://sports.ndtv.com/cricket/players/64674-alzarri-joseph-playerprofile</t>
  </si>
  <si>
    <t>Alzarri Shaheim Joseph</t>
  </si>
  <si>
    <t>November 20, 1996 Antigua</t>
  </si>
  <si>
    <t>25 Years, 3 Months, 25 Days</t>
  </si>
  <si>
    <t>15* v PBKS</t>
  </si>
  <si>
    <t>6/12 v SRH</t>
  </si>
  <si>
    <t>Matthew Wade</t>
  </si>
  <si>
    <t>https://sports.ndtv.com/cricket/players/1010-matthew-wade-playerprofile</t>
  </si>
  <si>
    <t>Matthew Scott Wade</t>
  </si>
  <si>
    <t>December 26, 1987 Hobart, Tasmania</t>
  </si>
  <si>
    <t>34 Years, 2 Months, 21 Days</t>
  </si>
  <si>
    <t>11 v PWI</t>
  </si>
  <si>
    <t>Jason Roy</t>
  </si>
  <si>
    <t>https://sports.ndtv.com/cricket/players/16312-jason-jonathan-roy-playerprofile</t>
  </si>
  <si>
    <t>Jason Jonathan Roy</t>
  </si>
  <si>
    <t>July 21, 1990 Durban, South Africa</t>
  </si>
  <si>
    <t>31 Years, 7 Months, 25 Days</t>
  </si>
  <si>
    <t>91* v MI</t>
  </si>
  <si>
    <t>Wriddhiman Saha</t>
  </si>
  <si>
    <t>https://sports.ndtv.com/cricket/players/1088-wriddhiman-saha-playerprofile</t>
  </si>
  <si>
    <t>Wriddhiman Prasanta Saha</t>
  </si>
  <si>
    <t>October 24, 1984 Shaktigarh</t>
  </si>
  <si>
    <t>37 Years, 4 Months, 22 Days</t>
  </si>
  <si>
    <t>115* v KKR</t>
  </si>
  <si>
    <t>Jayant Yadav</t>
  </si>
  <si>
    <t>https://sports.ndtv.com/cricket/players/60086-jayant-yadav-playerprofile</t>
  </si>
  <si>
    <t>January 22, 1990 Delhi</t>
  </si>
  <si>
    <t>32 Years, 1 Months, 21 Days</t>
  </si>
  <si>
    <t>23 v DC</t>
  </si>
  <si>
    <t>1/8 v CSK</t>
  </si>
  <si>
    <t>Vijay Shankar</t>
  </si>
  <si>
    <t>https://sports.ndtv.com/cricket/players/62197-vijay-shankar-playerprofile</t>
  </si>
  <si>
    <t>January 26, 1991 Tirunelveli, Tamil Nadu</t>
  </si>
  <si>
    <t>31 Years, 1 Months, 18 Days</t>
  </si>
  <si>
    <t>63* v GL</t>
  </si>
  <si>
    <t>2/19 v MI</t>
  </si>
  <si>
    <t>Dominic Drakes</t>
  </si>
  <si>
    <t>https://sports.ndtv.com/cricket/players/114349-dominic-drakes-playerprofile</t>
  </si>
  <si>
    <t>Dominic Conneil Drakes</t>
  </si>
  <si>
    <t>24 Years, 1 Months, 6 Days</t>
  </si>
  <si>
    <t>Varun Aaron</t>
  </si>
  <si>
    <t>https://sports.ndtv.com/cricket/players/1252-varun-aaron-playerprofile</t>
  </si>
  <si>
    <t>Varun Raymond Aaron</t>
  </si>
  <si>
    <t>October 29, 1989 Singhbhum, Bihar (now Jharkhand)</t>
  </si>
  <si>
    <t>32 Years, 4 Months, 17 Days</t>
  </si>
  <si>
    <t>17* v PBKS</t>
  </si>
  <si>
    <t>3/16 v KKR</t>
  </si>
  <si>
    <t>Gurkeerat Singh Mann</t>
  </si>
  <si>
    <t>https://sports.ndtv.com/cricket/players/1661-gurkeerat-singh-playerprofile</t>
  </si>
  <si>
    <t>Gurkeerat Rupinder Singh</t>
  </si>
  <si>
    <t>June 29, 1990 Muktsar, Punjab</t>
  </si>
  <si>
    <t>31 Years, 8 Months, 16 Days</t>
  </si>
  <si>
    <t>65 v SRH</t>
  </si>
  <si>
    <t>2/15 v RPS</t>
  </si>
  <si>
    <t>Noor Ahmad</t>
  </si>
  <si>
    <t>https://sports.ndtv.com/cricket/players/112545-noor-ahmad-playerprofile</t>
  </si>
  <si>
    <t>Noor Ahmad Lakanwal</t>
  </si>
  <si>
    <t>17 Years, 2 Months, 12 Days</t>
  </si>
  <si>
    <t>Darshan Nalkande</t>
  </si>
  <si>
    <t>https://sports.ndtv.com/cricket/players/110589-darshan-nalkande-playerprofile</t>
  </si>
  <si>
    <t>Darshan Girish Nalkande</t>
  </si>
  <si>
    <t>October 4, 1998 Wardha, Maharashtra</t>
  </si>
  <si>
    <t>23 Years, 5 Months, 11 Days</t>
  </si>
  <si>
    <t>Sai Sudharsan</t>
  </si>
  <si>
    <t>https://sports.ndtv.com/cricket/players/115302-sai-sudharsan-playerprofile</t>
  </si>
  <si>
    <t>Bhardwaj Sai Sudharsan</t>
  </si>
  <si>
    <t>20 Years, 5 Months, 0 Days</t>
  </si>
  <si>
    <t>Pradeep Sangwan</t>
  </si>
  <si>
    <t>https://sports.ndtv.com/cricket/players/1047-pradeep-sangwan-playerprofile</t>
  </si>
  <si>
    <t>Pradeep Jaibeer Sangwan</t>
  </si>
  <si>
    <t>November 5, 1990 Rasiwas, Delhi</t>
  </si>
  <si>
    <t>31 Years, 4 Months, 10 Days</t>
  </si>
  <si>
    <t>6* v MI</t>
  </si>
  <si>
    <t>3/18 v DCH</t>
  </si>
  <si>
    <t>Row Labels</t>
  </si>
  <si>
    <t>Grand Total</t>
  </si>
  <si>
    <t>Count of Team</t>
  </si>
  <si>
    <t>TEAM</t>
  </si>
  <si>
    <t>Total Players</t>
  </si>
  <si>
    <t>Count of Type</t>
  </si>
  <si>
    <t>Sum of RunsScored</t>
  </si>
  <si>
    <t>Sum of Wickets</t>
  </si>
  <si>
    <t xml:space="preserve"> </t>
  </si>
  <si>
    <t>Count of National Side</t>
  </si>
  <si>
    <t>(blank)</t>
  </si>
  <si>
    <t>Sum of 6s</t>
  </si>
  <si>
    <t>Sum of MatchPlayed</t>
  </si>
  <si>
    <t>Sum of 4s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</si>
</sst>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5"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Alignment="1">
      <alignment horizontal="left" indent="1"/>
    </xf>
    <xf numFmtId="0" fontId="0" fillId="34"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color theme="1"/>
      </font>
      <border>
        <bottom style="thin">
          <color theme="9"/>
        </bottom>
        <vertical/>
        <horizontal/>
      </border>
    </dxf>
    <dxf>
      <font>
        <color theme="1"/>
      </font>
      <fill>
        <patternFill patternType="solid">
          <fgColor auto="1"/>
          <bgColor theme="4" tint="0.39994506668294322"/>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F12716F6-D9DD-4091-869C-1F40D0FD5B82}">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4" tint="0.59996337778862885"/>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8" tint="-0.499984740745262"/>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 played!PivotTable11</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 played'!$B$3</c:f>
              <c:strCache>
                <c:ptCount val="1"/>
                <c:pt idx="0">
                  <c:v>Total</c:v>
                </c:pt>
              </c:strCache>
            </c:strRef>
          </c:tx>
          <c:spPr>
            <a:solidFill>
              <a:schemeClr val="accent1"/>
            </a:solidFill>
            <a:ln>
              <a:noFill/>
            </a:ln>
            <a:effectLst/>
          </c:spPr>
          <c:invertIfNegative val="0"/>
          <c:cat>
            <c:strRef>
              <c:f>'match played'!$A$4:$A$11</c:f>
              <c:strCache>
                <c:ptCount val="7"/>
                <c:pt idx="0">
                  <c:v>Siddarth Kaul</c:v>
                </c:pt>
                <c:pt idx="1">
                  <c:v>Harshal Patel</c:v>
                </c:pt>
                <c:pt idx="2">
                  <c:v>Karn Sharma</c:v>
                </c:pt>
                <c:pt idx="3">
                  <c:v>Glenn Maxwell</c:v>
                </c:pt>
                <c:pt idx="4">
                  <c:v>Faf du Plessis</c:v>
                </c:pt>
                <c:pt idx="5">
                  <c:v>Virat Kohli</c:v>
                </c:pt>
                <c:pt idx="6">
                  <c:v>Dinesh Karthik</c:v>
                </c:pt>
              </c:strCache>
            </c:strRef>
          </c:cat>
          <c:val>
            <c:numRef>
              <c:f>'match played'!$B$4:$B$11</c:f>
              <c:numCache>
                <c:formatCode>General</c:formatCode>
                <c:ptCount val="7"/>
                <c:pt idx="0">
                  <c:v>54</c:v>
                </c:pt>
                <c:pt idx="1">
                  <c:v>63</c:v>
                </c:pt>
                <c:pt idx="2">
                  <c:v>68</c:v>
                </c:pt>
                <c:pt idx="3">
                  <c:v>97</c:v>
                </c:pt>
                <c:pt idx="4">
                  <c:v>100</c:v>
                </c:pt>
                <c:pt idx="5">
                  <c:v>207</c:v>
                </c:pt>
                <c:pt idx="6">
                  <c:v>213</c:v>
                </c:pt>
              </c:numCache>
            </c:numRef>
          </c:val>
          <c:extLst>
            <c:ext xmlns:c16="http://schemas.microsoft.com/office/drawing/2014/chart" uri="{C3380CC4-5D6E-409C-BE32-E72D297353CC}">
              <c16:uniqueId val="{00000000-8BDF-493F-A976-9081A948360A}"/>
            </c:ext>
          </c:extLst>
        </c:ser>
        <c:dLbls>
          <c:showLegendKey val="0"/>
          <c:showVal val="0"/>
          <c:showCatName val="0"/>
          <c:showSerName val="0"/>
          <c:showPercent val="0"/>
          <c:showBubbleSize val="0"/>
        </c:dLbls>
        <c:gapWidth val="182"/>
        <c:axId val="1989004127"/>
        <c:axId val="1989000287"/>
      </c:barChart>
      <c:catAx>
        <c:axId val="1989004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00287"/>
        <c:crosses val="autoZero"/>
        <c:auto val="1"/>
        <c:lblAlgn val="ctr"/>
        <c:lblOffset val="100"/>
        <c:noMultiLvlLbl val="0"/>
      </c:catAx>
      <c:valAx>
        <c:axId val="198900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00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[IPL_Dashboard.xlsx]6's!PivotTable10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'6''s'!$B$3</c:f>
              <c:strCache>
                <c:ptCount val="1"/>
                <c:pt idx="0">
                  <c:v>Sum of 4s</c:v>
                </c:pt>
              </c:strCache>
            </c:strRef>
          </c:tx>
          <c:spPr>
            <a:solidFill>
              <a:schemeClr val="accent1"/>
            </a:solidFill>
            <a:ln>
              <a:noFill/>
            </a:ln>
            <a:effectLst/>
          </c:spPr>
          <c:invertIfNegative val="0"/>
          <c:cat>
            <c:strRef>
              <c:f>'6''s'!$A$4:$A$11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'6''s'!$B$4:$B$11</c:f>
              <c:numCache>
                <c:formatCode>General</c:formatCode>
                <c:ptCount val="7"/>
                <c:pt idx="0">
                  <c:v>546</c:v>
                </c:pt>
                <c:pt idx="1">
                  <c:v>399</c:v>
                </c:pt>
                <c:pt idx="2">
                  <c:v>265</c:v>
                </c:pt>
                <c:pt idx="3">
                  <c:v>166</c:v>
                </c:pt>
                <c:pt idx="4">
                  <c:v>18</c:v>
                </c:pt>
                <c:pt idx="5">
                  <c:v>11</c:v>
                </c:pt>
                <c:pt idx="6">
                  <c:v>8</c:v>
                </c:pt>
              </c:numCache>
            </c:numRef>
          </c:val>
          <c:extLst>
            <c:ext xmlns:c16="http://schemas.microsoft.com/office/drawing/2014/chart" uri="{C3380CC4-5D6E-409C-BE32-E72D297353CC}">
              <c16:uniqueId val="{00000000-426E-4A2E-AF66-E8990088005E}"/>
            </c:ext>
          </c:extLst>
        </c:ser>
        <c:ser>
          <c:idx val="1"/>
          <c:order val="1"/>
          <c:tx>
            <c:strRef>
              <c:f>'6''s'!$C$3</c:f>
              <c:strCache>
                <c:ptCount val="1"/>
                <c:pt idx="0">
                  <c:v>Sum of 6s</c:v>
                </c:pt>
              </c:strCache>
            </c:strRef>
          </c:tx>
          <c:spPr>
            <a:solidFill>
              <a:schemeClr val="accent2"/>
            </a:solidFill>
            <a:ln>
              <a:noFill/>
            </a:ln>
            <a:effectLst/>
          </c:spPr>
          <c:invertIfNegative val="0"/>
          <c:cat>
            <c:strRef>
              <c:f>'6''s'!$A$4:$A$11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'6''s'!$C$4:$C$11</c:f>
              <c:numCache>
                <c:formatCode>General</c:formatCode>
                <c:ptCount val="7"/>
                <c:pt idx="0">
                  <c:v>210</c:v>
                </c:pt>
                <c:pt idx="1">
                  <c:v>112</c:v>
                </c:pt>
                <c:pt idx="2">
                  <c:v>96</c:v>
                </c:pt>
                <c:pt idx="3">
                  <c:v>112</c:v>
                </c:pt>
                <c:pt idx="4">
                  <c:v>14</c:v>
                </c:pt>
                <c:pt idx="5">
                  <c:v>11</c:v>
                </c:pt>
                <c:pt idx="6">
                  <c:v>9</c:v>
                </c:pt>
              </c:numCache>
            </c:numRef>
          </c:val>
          <c:extLst>
            <c:ext xmlns:c16="http://schemas.microsoft.com/office/drawing/2014/chart" uri="{C3380CC4-5D6E-409C-BE32-E72D297353CC}">
              <c16:uniqueId val="{00000001-426E-4A2E-AF66-E8990088005E}"/>
            </c:ext>
          </c:extLst>
        </c:ser>
        <c:dLbls>
          <c:showLegendKey val="0"/>
          <c:showVal val="0"/>
          <c:showCatName val="0"/>
          <c:showSerName val="0"/>
          <c:showPercent val="0"/>
          <c:showBubbleSize val="0"/>
        </c:dLbls>
        <c:gapWidth val="219"/>
        <c:overlap val="-27"/>
        <c:axId val="740647391"/>
        <c:axId val="740665631"/>
      </c:barChart>
      <c:catAx>
        <c:axId val="740647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665631"/>
        <c:crosses val="autoZero"/>
        <c:auto val="1"/>
        <c:lblAlgn val="ctr"/>
        <c:lblOffset val="100"/>
        <c:noMultiLvlLbl val="0"/>
      </c:catAx>
      <c:valAx>
        <c:axId val="740665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40647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[IPL_Dashboard.xlsx]national side!PivotTable9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'national side'!$B$3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4D-4B7C-B00E-58028842570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4D-4B7C-B00E-58028842570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4D-4B7C-B00E-58028842570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4D-4B7C-B00E-58028842570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4D-4B7C-B00E-58028842570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4D-4B7C-B00E-58028842570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4D-4B7C-B00E-58028842570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604D-4B7C-B00E-580288425701}"/>
              </c:ext>
            </c:extLst>
          </c:dPt>
          <c:cat>
            <c:strRef>
              <c:f>'national side'!$A$4:$A$12</c:f>
              <c:strCache>
                <c:ptCount val="8"/>
                <c:pt idx="0">
                  <c:v>India</c:v>
                </c:pt>
                <c:pt idx="1">
                  <c:v>Australia</c:v>
                </c:pt>
                <c:pt idx="2">
                  <c:v>England</c:v>
                </c:pt>
                <c:pt idx="3">
                  <c:v>New Zealand</c:v>
                </c:pt>
                <c:pt idx="4">
                  <c:v>South Africa</c:v>
                </c:pt>
                <c:pt idx="5">
                  <c:v>Sri Lanka</c:v>
                </c:pt>
                <c:pt idx="6">
                  <c:v>West Indies</c:v>
                </c:pt>
                <c:pt idx="7">
                  <c:v>(blank)</c:v>
                </c:pt>
              </c:strCache>
            </c:strRef>
          </c:cat>
          <c:val>
            <c:numRef>
              <c:f>'national side'!$B$4:$B$12</c:f>
              <c:numCache>
                <c:formatCode>General</c:formatCode>
                <c:ptCount val="8"/>
                <c:pt idx="0">
                  <c:v>13</c:v>
                </c:pt>
                <c:pt idx="1">
                  <c:v>3</c:v>
                </c:pt>
                <c:pt idx="2">
                  <c:v>1</c:v>
                </c:pt>
                <c:pt idx="3">
                  <c:v>1</c:v>
                </c:pt>
                <c:pt idx="4">
                  <c:v>1</c:v>
                </c:pt>
                <c:pt idx="5">
                  <c:v>1</c:v>
                </c:pt>
                <c:pt idx="6">
                  <c:v>1</c:v>
                </c:pt>
              </c:numCache>
            </c:numRef>
          </c:val>
          <c:extLst>
            <c:ext xmlns:c16="http://schemas.microsoft.com/office/drawing/2014/chart" uri="{C3380CC4-5D6E-409C-BE32-E72D297353CC}">
              <c16:uniqueId val="{00000000-42B8-4F2A-9B04-AF029729A21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7 wicket taker!PivotTable8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7 wicket taker'!$B$3</c:f>
              <c:strCache>
                <c:ptCount val="1"/>
                <c:pt idx="0">
                  <c:v>Total</c:v>
                </c:pt>
              </c:strCache>
            </c:strRef>
          </c:tx>
          <c:spPr>
            <a:solidFill>
              <a:schemeClr val="accent1"/>
            </a:solidFill>
            <a:ln>
              <a:noFill/>
            </a:ln>
            <a:effectLst/>
          </c:spPr>
          <c:invertIfNegative val="0"/>
          <c:cat>
            <c:strRef>
              <c:f>'top 7 wicket taker'!$A$4:$A$11</c:f>
              <c:strCache>
                <c:ptCount val="7"/>
                <c:pt idx="0">
                  <c:v>Harshal Patel</c:v>
                </c:pt>
                <c:pt idx="1">
                  <c:v>Karn Sharma</c:v>
                </c:pt>
                <c:pt idx="2">
                  <c:v>Siddarth Kaul</c:v>
                </c:pt>
                <c:pt idx="3">
                  <c:v>Mohammed Siraj</c:v>
                </c:pt>
                <c:pt idx="4">
                  <c:v>Glenn Maxwell</c:v>
                </c:pt>
                <c:pt idx="5">
                  <c:v>Josh Hazlewood</c:v>
                </c:pt>
                <c:pt idx="6">
                  <c:v>Shahbaz Ahmed</c:v>
                </c:pt>
              </c:strCache>
            </c:strRef>
          </c:cat>
          <c:val>
            <c:numRef>
              <c:f>'top 7 wicket taker'!$B$4:$B$11</c:f>
              <c:numCache>
                <c:formatCode>General</c:formatCode>
                <c:ptCount val="7"/>
                <c:pt idx="0">
                  <c:v>78</c:v>
                </c:pt>
                <c:pt idx="1">
                  <c:v>59</c:v>
                </c:pt>
                <c:pt idx="2">
                  <c:v>58</c:v>
                </c:pt>
                <c:pt idx="3">
                  <c:v>50</c:v>
                </c:pt>
                <c:pt idx="4">
                  <c:v>22</c:v>
                </c:pt>
                <c:pt idx="5">
                  <c:v>12</c:v>
                </c:pt>
                <c:pt idx="6">
                  <c:v>9</c:v>
                </c:pt>
              </c:numCache>
            </c:numRef>
          </c:val>
          <c:extLst>
            <c:ext xmlns:c16="http://schemas.microsoft.com/office/drawing/2014/chart" uri="{C3380CC4-5D6E-409C-BE32-E72D297353CC}">
              <c16:uniqueId val="{00000000-F4E8-49FE-964D-38EC3E6DD6D7}"/>
            </c:ext>
          </c:extLst>
        </c:ser>
        <c:dLbls>
          <c:showLegendKey val="0"/>
          <c:showVal val="0"/>
          <c:showCatName val="0"/>
          <c:showSerName val="0"/>
          <c:showPercent val="0"/>
          <c:showBubbleSize val="0"/>
        </c:dLbls>
        <c:gapWidth val="219"/>
        <c:overlap val="-27"/>
        <c:axId val="66549711"/>
        <c:axId val="66535791"/>
      </c:barChart>
      <c:catAx>
        <c:axId val="66549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35791"/>
        <c:crosses val="autoZero"/>
        <c:auto val="1"/>
        <c:lblAlgn val="ctr"/>
        <c:lblOffset val="100"/>
        <c:noMultiLvlLbl val="0"/>
      </c:catAx>
      <c:valAx>
        <c:axId val="66535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7 run getter!PivotTable6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accent1">
                  <a:lumMod val="75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accent1">
                  <a:lumMod val="75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7 run getter'!$B$3</c:f>
              <c:strCache>
                <c:ptCount val="1"/>
                <c:pt idx="0">
                  <c:v>Total</c:v>
                </c:pt>
              </c:strCache>
            </c:strRef>
          </c:tx>
          <c:spPr>
            <a:gradFill>
              <a:gsLst>
                <a:gs pos="0">
                  <a:schemeClr val="accent1">
                    <a:lumMod val="75000"/>
                  </a:schemeClr>
                </a:gs>
                <a:gs pos="100000">
                  <a:srgbClr val="00206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7 run getter'!$A$4:$A$11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'top 7 run getter'!$B$4:$B$11</c:f>
              <c:numCache>
                <c:formatCode>General</c:formatCode>
                <c:ptCount val="7"/>
                <c:pt idx="0">
                  <c:v>6283</c:v>
                </c:pt>
                <c:pt idx="1">
                  <c:v>4046</c:v>
                </c:pt>
                <c:pt idx="2">
                  <c:v>2935</c:v>
                </c:pt>
                <c:pt idx="3">
                  <c:v>2018</c:v>
                </c:pt>
                <c:pt idx="4">
                  <c:v>317</c:v>
                </c:pt>
                <c:pt idx="5">
                  <c:v>187</c:v>
                </c:pt>
                <c:pt idx="6">
                  <c:v>181</c:v>
                </c:pt>
              </c:numCache>
            </c:numRef>
          </c:val>
          <c:extLst>
            <c:ext xmlns:c16="http://schemas.microsoft.com/office/drawing/2014/chart" uri="{C3380CC4-5D6E-409C-BE32-E72D297353CC}">
              <c16:uniqueId val="{00000000-20D7-427C-BC32-051594E195E9}"/>
            </c:ext>
          </c:extLst>
        </c:ser>
        <c:dLbls>
          <c:showLegendKey val="0"/>
          <c:showVal val="0"/>
          <c:showCatName val="0"/>
          <c:showSerName val="0"/>
          <c:showPercent val="0"/>
          <c:showBubbleSize val="0"/>
        </c:dLbls>
        <c:gapWidth val="77"/>
        <c:overlap val="-27"/>
        <c:axId val="1654385727"/>
        <c:axId val="1654386207"/>
      </c:barChart>
      <c:catAx>
        <c:axId val="1654385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4386207"/>
        <c:crosses val="autoZero"/>
        <c:auto val="1"/>
        <c:lblAlgn val="ctr"/>
        <c:lblOffset val="100"/>
        <c:noMultiLvlLbl val="0"/>
      </c:catAx>
      <c:valAx>
        <c:axId val="1654386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438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7 run getter!PivotTable6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75000"/>
                </a:schemeClr>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7 run getter'!$B$3</c:f>
              <c:strCache>
                <c:ptCount val="1"/>
                <c:pt idx="0">
                  <c:v>Total</c:v>
                </c:pt>
              </c:strCache>
            </c:strRef>
          </c:tx>
          <c:spPr>
            <a:gradFill>
              <a:gsLst>
                <a:gs pos="0">
                  <a:schemeClr val="accent1">
                    <a:lumMod val="75000"/>
                  </a:schemeClr>
                </a:gs>
                <a:gs pos="100000">
                  <a:srgbClr val="00206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7 run getter'!$A$4:$A$11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'top 7 run getter'!$B$4:$B$11</c:f>
              <c:numCache>
                <c:formatCode>General</c:formatCode>
                <c:ptCount val="7"/>
                <c:pt idx="0">
                  <c:v>6283</c:v>
                </c:pt>
                <c:pt idx="1">
                  <c:v>4046</c:v>
                </c:pt>
                <c:pt idx="2">
                  <c:v>2935</c:v>
                </c:pt>
                <c:pt idx="3">
                  <c:v>2018</c:v>
                </c:pt>
                <c:pt idx="4">
                  <c:v>317</c:v>
                </c:pt>
                <c:pt idx="5">
                  <c:v>187</c:v>
                </c:pt>
                <c:pt idx="6">
                  <c:v>181</c:v>
                </c:pt>
              </c:numCache>
            </c:numRef>
          </c:val>
          <c:extLst>
            <c:ext xmlns:c16="http://schemas.microsoft.com/office/drawing/2014/chart" uri="{C3380CC4-5D6E-409C-BE32-E72D297353CC}">
              <c16:uniqueId val="{00000000-0463-4772-ABE7-DE0A09830F31}"/>
            </c:ext>
          </c:extLst>
        </c:ser>
        <c:dLbls>
          <c:showLegendKey val="0"/>
          <c:showVal val="0"/>
          <c:showCatName val="0"/>
          <c:showSerName val="0"/>
          <c:showPercent val="0"/>
          <c:showBubbleSize val="0"/>
        </c:dLbls>
        <c:gapWidth val="77"/>
        <c:overlap val="-27"/>
        <c:axId val="1654385727"/>
        <c:axId val="1654386207"/>
      </c:barChart>
      <c:catAx>
        <c:axId val="165438572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54386207"/>
        <c:crosses val="autoZero"/>
        <c:auto val="1"/>
        <c:lblAlgn val="ctr"/>
        <c:lblOffset val="100"/>
        <c:noMultiLvlLbl val="0"/>
      </c:catAx>
      <c:valAx>
        <c:axId val="1654386207"/>
        <c:scaling>
          <c:orientation val="minMax"/>
        </c:scaling>
        <c:delete val="1"/>
        <c:axPos val="l"/>
        <c:numFmt formatCode="General" sourceLinked="1"/>
        <c:majorTickMark val="none"/>
        <c:minorTickMark val="none"/>
        <c:tickLblPos val="nextTo"/>
        <c:crossAx val="165438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[IPL_Dashboard.xlsx]top 7 wicket taker!PivotTable8</c:name>
    <c:fmtId val="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a:gsLst>
              <a:gs pos="0">
                <a:schemeClr val="accent1">
                  <a:lumMod val="75000"/>
                </a:schemeClr>
              </a:gs>
              <a:gs pos="100000">
                <a:srgbClr val="7030A0"/>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7 wicket taker'!$B$3</c:f>
              <c:strCache>
                <c:ptCount val="1"/>
                <c:pt idx="0">
                  <c:v>Total</c:v>
                </c:pt>
              </c:strCache>
            </c:strRef>
          </c:tx>
          <c:spPr>
            <a:gradFill>
              <a:gsLst>
                <a:gs pos="0">
                  <a:schemeClr val="accent1">
                    <a:lumMod val="75000"/>
                  </a:schemeClr>
                </a:gs>
                <a:gs pos="100000">
                  <a:srgbClr val="7030A0"/>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7 wicket taker'!$A$4:$A$11</c:f>
              <c:strCache>
                <c:ptCount val="7"/>
                <c:pt idx="0">
                  <c:v>Harshal Patel</c:v>
                </c:pt>
                <c:pt idx="1">
                  <c:v>Karn Sharma</c:v>
                </c:pt>
                <c:pt idx="2">
                  <c:v>Siddarth Kaul</c:v>
                </c:pt>
                <c:pt idx="3">
                  <c:v>Mohammed Siraj</c:v>
                </c:pt>
                <c:pt idx="4">
                  <c:v>Glenn Maxwell</c:v>
                </c:pt>
                <c:pt idx="5">
                  <c:v>Josh Hazlewood</c:v>
                </c:pt>
                <c:pt idx="6">
                  <c:v>Shahbaz Ahmed</c:v>
                </c:pt>
              </c:strCache>
            </c:strRef>
          </c:cat>
          <c:val>
            <c:numRef>
              <c:f>'top 7 wicket taker'!$B$4:$B$11</c:f>
              <c:numCache>
                <c:formatCode>General</c:formatCode>
                <c:ptCount val="7"/>
                <c:pt idx="0">
                  <c:v>78</c:v>
                </c:pt>
                <c:pt idx="1">
                  <c:v>59</c:v>
                </c:pt>
                <c:pt idx="2">
                  <c:v>58</c:v>
                </c:pt>
                <c:pt idx="3">
                  <c:v>50</c:v>
                </c:pt>
                <c:pt idx="4">
                  <c:v>22</c:v>
                </c:pt>
                <c:pt idx="5">
                  <c:v>12</c:v>
                </c:pt>
                <c:pt idx="6">
                  <c:v>9</c:v>
                </c:pt>
              </c:numCache>
            </c:numRef>
          </c:val>
          <c:extLst>
            <c:ext xmlns:c16="http://schemas.microsoft.com/office/drawing/2014/chart" uri="{C3380CC4-5D6E-409C-BE32-E72D297353CC}">
              <c16:uniqueId val="{00000000-EBC7-4595-9750-BFC617C4132C}"/>
            </c:ext>
          </c:extLst>
        </c:ser>
        <c:dLbls>
          <c:showLegendKey val="0"/>
          <c:showVal val="0"/>
          <c:showCatName val="0"/>
          <c:showSerName val="0"/>
          <c:showPercent val="0"/>
          <c:showBubbleSize val="0"/>
        </c:dLbls>
        <c:gapWidth val="77"/>
        <c:overlap val="-27"/>
        <c:axId val="66549711"/>
        <c:axId val="66535791"/>
      </c:barChart>
      <c:catAx>
        <c:axId val="665497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66535791"/>
        <c:crosses val="autoZero"/>
        <c:auto val="1"/>
        <c:lblAlgn val="ctr"/>
        <c:lblOffset val="100"/>
        <c:noMultiLvlLbl val="0"/>
      </c:catAx>
      <c:valAx>
        <c:axId val="66535791"/>
        <c:scaling>
          <c:orientation val="minMax"/>
        </c:scaling>
        <c:delete val="1"/>
        <c:axPos val="l"/>
        <c:numFmt formatCode="General" sourceLinked="1"/>
        <c:majorTickMark val="none"/>
        <c:minorTickMark val="none"/>
        <c:tickLblPos val="nextTo"/>
        <c:crossAx val="66549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[IPL_Dashboard.xlsx]match played!PivotTable11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F0"/>
              </a:gs>
              <a:gs pos="100000">
                <a:srgbClr val="002060"/>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'match played'!$B$3</c:f>
              <c:strCache>
                <c:ptCount val="1"/>
                <c:pt idx="0">
                  <c:v>Total</c:v>
                </c:pt>
              </c:strCache>
            </c:strRef>
          </c:tx>
          <c:spPr>
            <a:gradFill>
              <a:gsLst>
                <a:gs pos="0">
                  <a:srgbClr val="00B0F0"/>
                </a:gs>
                <a:gs pos="100000">
                  <a:srgbClr val="00206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 played'!$A$4:$A$11</c:f>
              <c:strCache>
                <c:ptCount val="7"/>
                <c:pt idx="0">
                  <c:v>Siddarth Kaul</c:v>
                </c:pt>
                <c:pt idx="1">
                  <c:v>Harshal Patel</c:v>
                </c:pt>
                <c:pt idx="2">
                  <c:v>Karn Sharma</c:v>
                </c:pt>
                <c:pt idx="3">
                  <c:v>Glenn Maxwell</c:v>
                </c:pt>
                <c:pt idx="4">
                  <c:v>Faf du Plessis</c:v>
                </c:pt>
                <c:pt idx="5">
                  <c:v>Virat Kohli</c:v>
                </c:pt>
                <c:pt idx="6">
                  <c:v>Dinesh Karthik</c:v>
                </c:pt>
              </c:strCache>
            </c:strRef>
          </c:cat>
          <c:val>
            <c:numRef>
              <c:f>'match played'!$B$4:$B$11</c:f>
              <c:numCache>
                <c:formatCode>General</c:formatCode>
                <c:ptCount val="7"/>
                <c:pt idx="0">
                  <c:v>54</c:v>
                </c:pt>
                <c:pt idx="1">
                  <c:v>63</c:v>
                </c:pt>
                <c:pt idx="2">
                  <c:v>68</c:v>
                </c:pt>
                <c:pt idx="3">
                  <c:v>97</c:v>
                </c:pt>
                <c:pt idx="4">
                  <c:v>100</c:v>
                </c:pt>
                <c:pt idx="5">
                  <c:v>207</c:v>
                </c:pt>
                <c:pt idx="6">
                  <c:v>213</c:v>
                </c:pt>
              </c:numCache>
            </c:numRef>
          </c:val>
          <c:extLst>
            <c:ext xmlns:c16="http://schemas.microsoft.com/office/drawing/2014/chart" uri="{C3380CC4-5D6E-409C-BE32-E72D297353CC}">
              <c16:uniqueId val="{00000000-8B33-4E91-AB63-05FCE00F9297}"/>
            </c:ext>
          </c:extLst>
        </c:ser>
        <c:dLbls>
          <c:showLegendKey val="0"/>
          <c:showVal val="0"/>
          <c:showCatName val="0"/>
          <c:showSerName val="0"/>
          <c:showPercent val="0"/>
          <c:showBubbleSize val="0"/>
        </c:dLbls>
        <c:gapWidth val="112"/>
        <c:axId val="1989004127"/>
        <c:axId val="1989000287"/>
      </c:barChart>
      <c:catAx>
        <c:axId val="198900412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9000287"/>
        <c:crosses val="autoZero"/>
        <c:auto val="1"/>
        <c:lblAlgn val="ctr"/>
        <c:lblOffset val="100"/>
        <c:noMultiLvlLbl val="0"/>
      </c:catAx>
      <c:valAx>
        <c:axId val="1989000287"/>
        <c:scaling>
          <c:orientation val="minMax"/>
        </c:scaling>
        <c:delete val="1"/>
        <c:axPos val="b"/>
        <c:numFmt formatCode="General" sourceLinked="1"/>
        <c:majorTickMark val="none"/>
        <c:minorTickMark val="none"/>
        <c:tickLblPos val="nextTo"/>
        <c:crossAx val="1989004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[IPL_Dashboard.xlsx]national side!PivotTable9</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lumMod val="20000"/>
              <a:lumOff val="80000"/>
            </a:schemeClr>
          </a:solidFill>
          <a:ln w="19050">
            <a:noFill/>
          </a:ln>
          <a:effectLst/>
        </c:spPr>
      </c:pivotFmt>
      <c:pivotFmt>
        <c:idx val="140"/>
        <c:spPr>
          <a:solidFill>
            <a:schemeClr val="accent2">
              <a:lumMod val="75000"/>
            </a:schemeClr>
          </a:solidFill>
          <a:ln w="19050">
            <a:noFill/>
          </a:ln>
          <a:effectLst/>
        </c:spPr>
      </c:pivotFmt>
      <c:pivotFmt>
        <c:idx val="141"/>
        <c:spPr>
          <a:gradFill>
            <a:gsLst>
              <a:gs pos="0">
                <a:srgbClr val="00B0F0"/>
              </a:gs>
              <a:gs pos="100000">
                <a:srgbClr val="002060"/>
              </a:gs>
            </a:gsLst>
            <a:lin ang="5400000" scaled="1"/>
          </a:gradFill>
          <a:ln w="19050">
            <a:noFill/>
          </a:ln>
          <a:effectLst/>
        </c:spPr>
      </c:pivotFmt>
      <c:pivotFmt>
        <c:idx val="142"/>
        <c:spPr>
          <a:solidFill>
            <a:schemeClr val="accent1"/>
          </a:solidFill>
          <a:ln w="19050">
            <a:noFill/>
          </a:ln>
          <a:effectLst/>
        </c:spPr>
      </c:pivotFmt>
      <c:pivotFmt>
        <c:idx val="143"/>
        <c:spPr>
          <a:solidFill>
            <a:schemeClr val="accent1"/>
          </a:solidFill>
          <a:ln w="19050">
            <a:noFill/>
          </a:ln>
          <a:effectLst/>
        </c:spPr>
      </c:pivotFmt>
      <c:pivotFmt>
        <c:idx val="144"/>
        <c:spPr>
          <a:solidFill>
            <a:schemeClr val="accent1"/>
          </a:solidFill>
          <a:ln w="19050">
            <a:noFill/>
          </a:ln>
          <a:effectLst/>
        </c:spPr>
      </c:pivotFmt>
      <c:pivotFmt>
        <c:idx val="145"/>
        <c:spPr>
          <a:solidFill>
            <a:schemeClr val="accent1"/>
          </a:solidFill>
          <a:ln w="19050">
            <a:noFill/>
          </a:ln>
          <a:effectLst/>
        </c:spPr>
      </c:pivotFmt>
      <c:pivotFmt>
        <c:idx val="146"/>
        <c:spPr>
          <a:solidFill>
            <a:schemeClr val="accent1"/>
          </a:solidFill>
          <a:ln w="19050">
            <a:noFill/>
          </a:ln>
          <a:effectLst/>
        </c:spPr>
      </c:pivotFmt>
    </c:pivotFmts>
    <c:plotArea>
      <c:layout/>
      <c:pieChart>
        <c:varyColors val="1"/>
        <c:ser>
          <c:idx val="0"/>
          <c:order val="0"/>
          <c:tx>
            <c:strRef>
              <c:f>'national side'!$B$3</c:f>
              <c:strCache>
                <c:ptCount val="1"/>
                <c:pt idx="0">
                  <c:v>Total</c:v>
                </c:pt>
              </c:strCache>
            </c:strRef>
          </c:tx>
          <c:spPr>
            <a:ln>
              <a:noFill/>
            </a:ln>
          </c:spPr>
          <c:dPt>
            <c:idx val="0"/>
            <c:bubble3D val="0"/>
            <c:spPr>
              <a:gradFill>
                <a:gsLst>
                  <a:gs pos="0">
                    <a:srgbClr val="00B0F0"/>
                  </a:gs>
                  <a:gs pos="100000">
                    <a:srgbClr val="002060"/>
                  </a:gs>
                </a:gsLst>
                <a:lin ang="5400000" scaled="1"/>
              </a:gradFill>
              <a:ln w="19050">
                <a:noFill/>
              </a:ln>
              <a:effectLst/>
            </c:spPr>
            <c:extLst>
              <c:ext xmlns:c16="http://schemas.microsoft.com/office/drawing/2014/chart" uri="{C3380CC4-5D6E-409C-BE32-E72D297353CC}">
                <c16:uniqueId val="{00000001-E56D-4869-A0C9-773C236FEF9A}"/>
              </c:ext>
            </c:extLst>
          </c:dPt>
          <c:dPt>
            <c:idx val="1"/>
            <c:bubble3D val="0"/>
            <c:spPr>
              <a:solidFill>
                <a:schemeClr val="accent2"/>
              </a:solidFill>
              <a:ln w="19050">
                <a:noFill/>
              </a:ln>
              <a:effectLst/>
            </c:spPr>
            <c:extLst>
              <c:ext xmlns:c16="http://schemas.microsoft.com/office/drawing/2014/chart" uri="{C3380CC4-5D6E-409C-BE32-E72D297353CC}">
                <c16:uniqueId val="{00000003-E56D-4869-A0C9-773C236FEF9A}"/>
              </c:ext>
            </c:extLst>
          </c:dPt>
          <c:dPt>
            <c:idx val="2"/>
            <c:bubble3D val="0"/>
            <c:spPr>
              <a:solidFill>
                <a:schemeClr val="accent3"/>
              </a:solidFill>
              <a:ln w="19050">
                <a:noFill/>
              </a:ln>
              <a:effectLst/>
            </c:spPr>
            <c:extLst>
              <c:ext xmlns:c16="http://schemas.microsoft.com/office/drawing/2014/chart" uri="{C3380CC4-5D6E-409C-BE32-E72D297353CC}">
                <c16:uniqueId val="{00000005-E56D-4869-A0C9-773C236FEF9A}"/>
              </c:ext>
            </c:extLst>
          </c:dPt>
          <c:dPt>
            <c:idx val="3"/>
            <c:bubble3D val="0"/>
            <c:spPr>
              <a:solidFill>
                <a:schemeClr val="accent2">
                  <a:lumMod val="75000"/>
                </a:schemeClr>
              </a:solidFill>
              <a:ln w="19050">
                <a:noFill/>
              </a:ln>
              <a:effectLst/>
            </c:spPr>
            <c:extLst>
              <c:ext xmlns:c16="http://schemas.microsoft.com/office/drawing/2014/chart" uri="{C3380CC4-5D6E-409C-BE32-E72D297353CC}">
                <c16:uniqueId val="{00000007-E56D-4869-A0C9-773C236FEF9A}"/>
              </c:ext>
            </c:extLst>
          </c:dPt>
          <c:dPt>
            <c:idx val="4"/>
            <c:bubble3D val="0"/>
            <c:spPr>
              <a:solidFill>
                <a:schemeClr val="accent5"/>
              </a:solidFill>
              <a:ln w="19050">
                <a:noFill/>
              </a:ln>
              <a:effectLst/>
            </c:spPr>
            <c:extLst>
              <c:ext xmlns:c16="http://schemas.microsoft.com/office/drawing/2014/chart" uri="{C3380CC4-5D6E-409C-BE32-E72D297353CC}">
                <c16:uniqueId val="{00000009-E56D-4869-A0C9-773C236FEF9A}"/>
              </c:ext>
            </c:extLst>
          </c:dPt>
          <c:dPt>
            <c:idx val="5"/>
            <c:bubble3D val="0"/>
            <c:spPr>
              <a:solidFill>
                <a:schemeClr val="accent1">
                  <a:lumMod val="20000"/>
                  <a:lumOff val="80000"/>
                </a:schemeClr>
              </a:solidFill>
              <a:ln w="19050">
                <a:noFill/>
              </a:ln>
              <a:effectLst/>
            </c:spPr>
            <c:extLst>
              <c:ext xmlns:c16="http://schemas.microsoft.com/office/drawing/2014/chart" uri="{C3380CC4-5D6E-409C-BE32-E72D297353CC}">
                <c16:uniqueId val="{0000000B-E56D-4869-A0C9-773C236FEF9A}"/>
              </c:ext>
            </c:extLst>
          </c:dPt>
          <c:dPt>
            <c:idx val="6"/>
            <c:bubble3D val="0"/>
            <c:spPr>
              <a:solidFill>
                <a:schemeClr val="accent1">
                  <a:lumMod val="60000"/>
                </a:schemeClr>
              </a:solidFill>
              <a:ln w="19050">
                <a:noFill/>
              </a:ln>
              <a:effectLst/>
            </c:spPr>
            <c:extLst>
              <c:ext xmlns:c16="http://schemas.microsoft.com/office/drawing/2014/chart" uri="{C3380CC4-5D6E-409C-BE32-E72D297353CC}">
                <c16:uniqueId val="{0000000D-E56D-4869-A0C9-773C236FEF9A}"/>
              </c:ext>
            </c:extLst>
          </c:dPt>
          <c:dPt>
            <c:idx val="7"/>
            <c:bubble3D val="0"/>
            <c:spPr>
              <a:solidFill>
                <a:schemeClr val="accent2">
                  <a:lumMod val="60000"/>
                </a:schemeClr>
              </a:solidFill>
              <a:ln w="19050">
                <a:noFill/>
              </a:ln>
              <a:effectLst/>
            </c:spPr>
            <c:extLst>
              <c:ext xmlns:c16="http://schemas.microsoft.com/office/drawing/2014/chart" uri="{C3380CC4-5D6E-409C-BE32-E72D297353CC}">
                <c16:uniqueId val="{0000000F-E56D-4869-A0C9-773C236FEF9A}"/>
              </c:ext>
            </c:extLst>
          </c:dPt>
          <c:dPt>
            <c:idx val="8"/>
            <c:bubble3D val="0"/>
            <c:spPr>
              <a:solidFill>
                <a:schemeClr val="accent3">
                  <a:lumMod val="60000"/>
                </a:schemeClr>
              </a:solidFill>
              <a:ln w="19050">
                <a:noFill/>
              </a:ln>
              <a:effectLst/>
            </c:spPr>
            <c:extLst>
              <c:ext xmlns:c16="http://schemas.microsoft.com/office/drawing/2014/chart" uri="{C3380CC4-5D6E-409C-BE32-E72D297353CC}">
                <c16:uniqueId val="{00000011-E56D-4869-A0C9-773C236FEF9A}"/>
              </c:ext>
            </c:extLst>
          </c:dPt>
          <c:dPt>
            <c:idx val="9"/>
            <c:bubble3D val="0"/>
            <c:spPr>
              <a:solidFill>
                <a:schemeClr val="accent4">
                  <a:lumMod val="60000"/>
                </a:schemeClr>
              </a:solidFill>
              <a:ln w="19050">
                <a:noFill/>
              </a:ln>
              <a:effectLst/>
            </c:spPr>
            <c:extLst>
              <c:ext xmlns:c16="http://schemas.microsoft.com/office/drawing/2014/chart" uri="{C3380CC4-5D6E-409C-BE32-E72D297353CC}">
                <c16:uniqueId val="{00000013-E56D-4869-A0C9-773C236FEF9A}"/>
              </c:ext>
            </c:extLst>
          </c:dPt>
          <c:dPt>
            <c:idx val="10"/>
            <c:bubble3D val="0"/>
            <c:spPr>
              <a:solidFill>
                <a:schemeClr val="accent5">
                  <a:lumMod val="60000"/>
                </a:schemeClr>
              </a:solidFill>
              <a:ln w="19050">
                <a:noFill/>
              </a:ln>
              <a:effectLst/>
            </c:spPr>
            <c:extLst>
              <c:ext xmlns:c16="http://schemas.microsoft.com/office/drawing/2014/chart" uri="{C3380CC4-5D6E-409C-BE32-E72D297353CC}">
                <c16:uniqueId val="{00000015-E56D-4869-A0C9-773C236FEF9A}"/>
              </c:ext>
            </c:extLst>
          </c:dPt>
          <c:dPt>
            <c:idx val="11"/>
            <c:bubble3D val="0"/>
            <c:spPr>
              <a:solidFill>
                <a:schemeClr val="accent6">
                  <a:lumMod val="60000"/>
                </a:schemeClr>
              </a:solidFill>
              <a:ln w="19050">
                <a:noFill/>
              </a:ln>
              <a:effectLst/>
            </c:spPr>
            <c:extLst>
              <c:ext xmlns:c16="http://schemas.microsoft.com/office/drawing/2014/chart" uri="{C3380CC4-5D6E-409C-BE32-E72D297353CC}">
                <c16:uniqueId val="{00000017-E56D-4869-A0C9-773C236FEF9A}"/>
              </c:ext>
            </c:extLst>
          </c:dPt>
          <c:dPt>
            <c:idx val="12"/>
            <c:bubble3D val="0"/>
            <c:spPr>
              <a:solidFill>
                <a:schemeClr val="accent1">
                  <a:lumMod val="80000"/>
                  <a:lumOff val="20000"/>
                </a:schemeClr>
              </a:solidFill>
              <a:ln w="19050">
                <a:noFill/>
              </a:ln>
              <a:effectLst/>
            </c:spPr>
            <c:extLst>
              <c:ext xmlns:c16="http://schemas.microsoft.com/office/drawing/2014/chart" uri="{C3380CC4-5D6E-409C-BE32-E72D297353CC}">
                <c16:uniqueId val="{00000019-E56D-4869-A0C9-773C236FEF9A}"/>
              </c:ext>
            </c:extLst>
          </c:dPt>
          <c:dPt>
            <c:idx val="13"/>
            <c:bubble3D val="0"/>
            <c:spPr>
              <a:solidFill>
                <a:schemeClr val="accent2">
                  <a:lumMod val="80000"/>
                  <a:lumOff val="20000"/>
                </a:schemeClr>
              </a:solidFill>
              <a:ln w="19050">
                <a:noFill/>
              </a:ln>
              <a:effectLst/>
            </c:spPr>
            <c:extLst>
              <c:ext xmlns:c16="http://schemas.microsoft.com/office/drawing/2014/chart" uri="{C3380CC4-5D6E-409C-BE32-E72D297353CC}">
                <c16:uniqueId val="{0000001B-E56D-4869-A0C9-773C236FEF9A}"/>
              </c:ext>
            </c:extLst>
          </c:dPt>
          <c:dPt>
            <c:idx val="14"/>
            <c:bubble3D val="0"/>
            <c:spPr>
              <a:solidFill>
                <a:schemeClr val="accent3">
                  <a:lumMod val="80000"/>
                  <a:lumOff val="20000"/>
                </a:schemeClr>
              </a:solidFill>
              <a:ln w="19050">
                <a:noFill/>
              </a:ln>
              <a:effectLst/>
            </c:spPr>
            <c:extLst>
              <c:ext xmlns:c16="http://schemas.microsoft.com/office/drawing/2014/chart" uri="{C3380CC4-5D6E-409C-BE32-E72D297353CC}">
                <c16:uniqueId val="{0000001D-E56D-4869-A0C9-773C236FEF9A}"/>
              </c:ext>
            </c:extLst>
          </c:dPt>
          <c:dPt>
            <c:idx val="15"/>
            <c:bubble3D val="0"/>
            <c:spPr>
              <a:solidFill>
                <a:schemeClr val="accent4">
                  <a:lumMod val="80000"/>
                  <a:lumOff val="20000"/>
                </a:schemeClr>
              </a:solidFill>
              <a:ln w="19050">
                <a:noFill/>
              </a:ln>
              <a:effectLst/>
            </c:spPr>
            <c:extLst>
              <c:ext xmlns:c16="http://schemas.microsoft.com/office/drawing/2014/chart" uri="{C3380CC4-5D6E-409C-BE32-E72D297353CC}">
                <c16:uniqueId val="{0000001F-E56D-4869-A0C9-773C236FEF9A}"/>
              </c:ext>
            </c:extLst>
          </c:dPt>
          <c:dPt>
            <c:idx val="16"/>
            <c:bubble3D val="0"/>
            <c:spPr>
              <a:solidFill>
                <a:schemeClr val="accent5">
                  <a:lumMod val="80000"/>
                  <a:lumOff val="20000"/>
                </a:schemeClr>
              </a:solidFill>
              <a:ln w="19050">
                <a:noFill/>
              </a:ln>
              <a:effectLst/>
            </c:spPr>
            <c:extLst>
              <c:ext xmlns:c16="http://schemas.microsoft.com/office/drawing/2014/chart" uri="{C3380CC4-5D6E-409C-BE32-E72D297353CC}">
                <c16:uniqueId val="{00000021-E56D-4869-A0C9-773C236FEF9A}"/>
              </c:ext>
            </c:extLst>
          </c:dPt>
          <c:dPt>
            <c:idx val="17"/>
            <c:bubble3D val="0"/>
            <c:spPr>
              <a:solidFill>
                <a:schemeClr val="accent6">
                  <a:lumMod val="80000"/>
                  <a:lumOff val="20000"/>
                </a:schemeClr>
              </a:solidFill>
              <a:ln w="19050">
                <a:noFill/>
              </a:ln>
              <a:effectLst/>
            </c:spPr>
            <c:extLst>
              <c:ext xmlns:c16="http://schemas.microsoft.com/office/drawing/2014/chart" uri="{C3380CC4-5D6E-409C-BE32-E72D297353CC}">
                <c16:uniqueId val="{00000023-E56D-4869-A0C9-773C236FEF9A}"/>
              </c:ext>
            </c:extLst>
          </c:dPt>
          <c:dPt>
            <c:idx val="18"/>
            <c:bubble3D val="0"/>
            <c:spPr>
              <a:solidFill>
                <a:schemeClr val="accent1">
                  <a:lumMod val="80000"/>
                </a:schemeClr>
              </a:solidFill>
              <a:ln w="19050">
                <a:noFill/>
              </a:ln>
              <a:effectLst/>
            </c:spPr>
            <c:extLst>
              <c:ext xmlns:c16="http://schemas.microsoft.com/office/drawing/2014/chart" uri="{C3380CC4-5D6E-409C-BE32-E72D297353CC}">
                <c16:uniqueId val="{00000025-E56D-4869-A0C9-773C236FEF9A}"/>
              </c:ext>
            </c:extLst>
          </c:dPt>
          <c:dPt>
            <c:idx val="19"/>
            <c:bubble3D val="0"/>
            <c:spPr>
              <a:solidFill>
                <a:schemeClr val="accent2">
                  <a:lumMod val="80000"/>
                </a:schemeClr>
              </a:solidFill>
              <a:ln w="19050">
                <a:noFill/>
              </a:ln>
              <a:effectLst/>
            </c:spPr>
            <c:extLst>
              <c:ext xmlns:c16="http://schemas.microsoft.com/office/drawing/2014/chart" uri="{C3380CC4-5D6E-409C-BE32-E72D297353CC}">
                <c16:uniqueId val="{00000027-E56D-4869-A0C9-773C236FEF9A}"/>
              </c:ext>
            </c:extLst>
          </c:dPt>
          <c:dPt>
            <c:idx val="20"/>
            <c:bubble3D val="0"/>
            <c:spPr>
              <a:solidFill>
                <a:schemeClr val="accent3">
                  <a:lumMod val="80000"/>
                </a:schemeClr>
              </a:solidFill>
              <a:ln w="19050">
                <a:noFill/>
              </a:ln>
              <a:effectLst/>
            </c:spPr>
            <c:extLst>
              <c:ext xmlns:c16="http://schemas.microsoft.com/office/drawing/2014/chart" uri="{C3380CC4-5D6E-409C-BE32-E72D297353CC}">
                <c16:uniqueId val="{00000029-E56D-4869-A0C9-773C236FEF9A}"/>
              </c:ext>
            </c:extLst>
          </c:dPt>
          <c:dPt>
            <c:idx val="21"/>
            <c:bubble3D val="0"/>
            <c:spPr>
              <a:solidFill>
                <a:schemeClr val="accent4">
                  <a:lumMod val="80000"/>
                </a:schemeClr>
              </a:solidFill>
              <a:ln w="19050">
                <a:noFill/>
              </a:ln>
              <a:effectLst/>
            </c:spPr>
            <c:extLst>
              <c:ext xmlns:c16="http://schemas.microsoft.com/office/drawing/2014/chart" uri="{C3380CC4-5D6E-409C-BE32-E72D297353CC}">
                <c16:uniqueId val="{0000002B-E56D-4869-A0C9-773C236FEF9A}"/>
              </c:ext>
            </c:extLst>
          </c:dPt>
          <c:dPt>
            <c:idx val="22"/>
            <c:bubble3D val="0"/>
            <c:spPr>
              <a:solidFill>
                <a:schemeClr val="accent5">
                  <a:lumMod val="80000"/>
                </a:schemeClr>
              </a:solidFill>
              <a:ln w="19050">
                <a:noFill/>
              </a:ln>
              <a:effectLst/>
            </c:spPr>
            <c:extLst>
              <c:ext xmlns:c16="http://schemas.microsoft.com/office/drawing/2014/chart" uri="{C3380CC4-5D6E-409C-BE32-E72D297353CC}">
                <c16:uniqueId val="{0000002D-E56D-4869-A0C9-773C236FEF9A}"/>
              </c:ext>
            </c:extLst>
          </c:dPt>
          <c:dPt>
            <c:idx val="23"/>
            <c:bubble3D val="0"/>
            <c:spPr>
              <a:solidFill>
                <a:schemeClr val="accent6">
                  <a:lumMod val="80000"/>
                </a:schemeClr>
              </a:solidFill>
              <a:ln w="19050">
                <a:noFill/>
              </a:ln>
              <a:effectLst/>
            </c:spPr>
            <c:extLst>
              <c:ext xmlns:c16="http://schemas.microsoft.com/office/drawing/2014/chart" uri="{C3380CC4-5D6E-409C-BE32-E72D297353CC}">
                <c16:uniqueId val="{0000002F-E56D-4869-A0C9-773C236FEF9A}"/>
              </c:ext>
            </c:extLst>
          </c:dPt>
          <c:dPt>
            <c:idx val="24"/>
            <c:bubble3D val="0"/>
            <c:spPr>
              <a:solidFill>
                <a:schemeClr val="accent1">
                  <a:lumMod val="60000"/>
                  <a:lumOff val="40000"/>
                </a:schemeClr>
              </a:solidFill>
              <a:ln w="19050">
                <a:noFill/>
              </a:ln>
              <a:effectLst/>
            </c:spPr>
            <c:extLst>
              <c:ext xmlns:c16="http://schemas.microsoft.com/office/drawing/2014/chart" uri="{C3380CC4-5D6E-409C-BE32-E72D297353CC}">
                <c16:uniqueId val="{00000031-E56D-4869-A0C9-773C236FEF9A}"/>
              </c:ext>
            </c:extLst>
          </c:dPt>
          <c:dPt>
            <c:idx val="25"/>
            <c:bubble3D val="0"/>
            <c:spPr>
              <a:solidFill>
                <a:schemeClr val="accent2">
                  <a:lumMod val="60000"/>
                  <a:lumOff val="40000"/>
                </a:schemeClr>
              </a:solidFill>
              <a:ln w="19050">
                <a:noFill/>
              </a:ln>
              <a:effectLst/>
            </c:spPr>
            <c:extLst>
              <c:ext xmlns:c16="http://schemas.microsoft.com/office/drawing/2014/chart" uri="{C3380CC4-5D6E-409C-BE32-E72D297353CC}">
                <c16:uniqueId val="{00000033-E56D-4869-A0C9-773C236FEF9A}"/>
              </c:ext>
            </c:extLst>
          </c:dPt>
          <c:dPt>
            <c:idx val="26"/>
            <c:bubble3D val="0"/>
            <c:spPr>
              <a:solidFill>
                <a:schemeClr val="accent3">
                  <a:lumMod val="60000"/>
                  <a:lumOff val="40000"/>
                </a:schemeClr>
              </a:solidFill>
              <a:ln w="19050">
                <a:noFill/>
              </a:ln>
              <a:effectLst/>
            </c:spPr>
            <c:extLst>
              <c:ext xmlns:c16="http://schemas.microsoft.com/office/drawing/2014/chart" uri="{C3380CC4-5D6E-409C-BE32-E72D297353CC}">
                <c16:uniqueId val="{00000035-E56D-4869-A0C9-773C236FEF9A}"/>
              </c:ext>
            </c:extLst>
          </c:dPt>
          <c:dPt>
            <c:idx val="27"/>
            <c:bubble3D val="0"/>
            <c:spPr>
              <a:solidFill>
                <a:schemeClr val="accent4">
                  <a:lumMod val="60000"/>
                  <a:lumOff val="40000"/>
                </a:schemeClr>
              </a:solidFill>
              <a:ln w="19050">
                <a:noFill/>
              </a:ln>
              <a:effectLst/>
            </c:spPr>
            <c:extLst>
              <c:ext xmlns:c16="http://schemas.microsoft.com/office/drawing/2014/chart" uri="{C3380CC4-5D6E-409C-BE32-E72D297353CC}">
                <c16:uniqueId val="{00000037-E56D-4869-A0C9-773C236FEF9A}"/>
              </c:ext>
            </c:extLst>
          </c:dPt>
          <c:dPt>
            <c:idx val="28"/>
            <c:bubble3D val="0"/>
            <c:spPr>
              <a:solidFill>
                <a:schemeClr val="accent5">
                  <a:lumMod val="60000"/>
                  <a:lumOff val="40000"/>
                </a:schemeClr>
              </a:solidFill>
              <a:ln w="19050">
                <a:noFill/>
              </a:ln>
              <a:effectLst/>
            </c:spPr>
            <c:extLst>
              <c:ext xmlns:c16="http://schemas.microsoft.com/office/drawing/2014/chart" uri="{C3380CC4-5D6E-409C-BE32-E72D297353CC}">
                <c16:uniqueId val="{00000039-E56D-4869-A0C9-773C236FEF9A}"/>
              </c:ext>
            </c:extLst>
          </c:dPt>
          <c:dPt>
            <c:idx val="29"/>
            <c:bubble3D val="0"/>
            <c:spPr>
              <a:solidFill>
                <a:schemeClr val="accent6">
                  <a:lumMod val="60000"/>
                  <a:lumOff val="40000"/>
                </a:schemeClr>
              </a:solidFill>
              <a:ln w="19050">
                <a:noFill/>
              </a:ln>
              <a:effectLst/>
            </c:spPr>
            <c:extLst>
              <c:ext xmlns:c16="http://schemas.microsoft.com/office/drawing/2014/chart" uri="{C3380CC4-5D6E-409C-BE32-E72D297353CC}">
                <c16:uniqueId val="{0000003B-E56D-4869-A0C9-773C236FEF9A}"/>
              </c:ext>
            </c:extLst>
          </c:dPt>
          <c:dPt>
            <c:idx val="30"/>
            <c:bubble3D val="0"/>
            <c:spPr>
              <a:solidFill>
                <a:schemeClr val="accent1">
                  <a:lumMod val="50000"/>
                </a:schemeClr>
              </a:solidFill>
              <a:ln w="19050">
                <a:noFill/>
              </a:ln>
              <a:effectLst/>
            </c:spPr>
            <c:extLst>
              <c:ext xmlns:c16="http://schemas.microsoft.com/office/drawing/2014/chart" uri="{C3380CC4-5D6E-409C-BE32-E72D297353CC}">
                <c16:uniqueId val="{0000003D-E56D-4869-A0C9-773C236FEF9A}"/>
              </c:ext>
            </c:extLst>
          </c:dPt>
          <c:dPt>
            <c:idx val="31"/>
            <c:bubble3D val="0"/>
            <c:spPr>
              <a:solidFill>
                <a:schemeClr val="accent2">
                  <a:lumMod val="50000"/>
                </a:schemeClr>
              </a:solidFill>
              <a:ln w="19050">
                <a:noFill/>
              </a:ln>
              <a:effectLst/>
            </c:spPr>
            <c:extLst>
              <c:ext xmlns:c16="http://schemas.microsoft.com/office/drawing/2014/chart" uri="{C3380CC4-5D6E-409C-BE32-E72D297353CC}">
                <c16:uniqueId val="{0000003F-E56D-4869-A0C9-773C236FEF9A}"/>
              </c:ext>
            </c:extLst>
          </c:dPt>
          <c:dPt>
            <c:idx val="32"/>
            <c:bubble3D val="0"/>
            <c:spPr>
              <a:solidFill>
                <a:schemeClr val="accent3">
                  <a:lumMod val="50000"/>
                </a:schemeClr>
              </a:solidFill>
              <a:ln w="19050">
                <a:noFill/>
              </a:ln>
              <a:effectLst/>
            </c:spPr>
            <c:extLst>
              <c:ext xmlns:c16="http://schemas.microsoft.com/office/drawing/2014/chart" uri="{C3380CC4-5D6E-409C-BE32-E72D297353CC}">
                <c16:uniqueId val="{00000041-E56D-4869-A0C9-773C236FEF9A}"/>
              </c:ext>
            </c:extLst>
          </c:dPt>
          <c:dPt>
            <c:idx val="33"/>
            <c:bubble3D val="0"/>
            <c:spPr>
              <a:solidFill>
                <a:schemeClr val="accent4">
                  <a:lumMod val="50000"/>
                </a:schemeClr>
              </a:solidFill>
              <a:ln w="19050">
                <a:noFill/>
              </a:ln>
              <a:effectLst/>
            </c:spPr>
            <c:extLst>
              <c:ext xmlns:c16="http://schemas.microsoft.com/office/drawing/2014/chart" uri="{C3380CC4-5D6E-409C-BE32-E72D297353CC}">
                <c16:uniqueId val="{00000043-E56D-4869-A0C9-773C236FEF9A}"/>
              </c:ext>
            </c:extLst>
          </c:dPt>
          <c:dPt>
            <c:idx val="34"/>
            <c:bubble3D val="0"/>
            <c:spPr>
              <a:solidFill>
                <a:schemeClr val="accent5">
                  <a:lumMod val="50000"/>
                </a:schemeClr>
              </a:solidFill>
              <a:ln w="19050">
                <a:noFill/>
              </a:ln>
              <a:effectLst/>
            </c:spPr>
            <c:extLst>
              <c:ext xmlns:c16="http://schemas.microsoft.com/office/drawing/2014/chart" uri="{C3380CC4-5D6E-409C-BE32-E72D297353CC}">
                <c16:uniqueId val="{00000045-E56D-4869-A0C9-773C236FEF9A}"/>
              </c:ext>
            </c:extLst>
          </c:dPt>
          <c:dPt>
            <c:idx val="35"/>
            <c:bubble3D val="0"/>
            <c:spPr>
              <a:solidFill>
                <a:schemeClr val="accent6">
                  <a:lumMod val="50000"/>
                </a:schemeClr>
              </a:solidFill>
              <a:ln w="19050">
                <a:noFill/>
              </a:ln>
              <a:effectLst/>
            </c:spPr>
            <c:extLst>
              <c:ext xmlns:c16="http://schemas.microsoft.com/office/drawing/2014/chart" uri="{C3380CC4-5D6E-409C-BE32-E72D297353CC}">
                <c16:uniqueId val="{00000047-E56D-4869-A0C9-773C236FEF9A}"/>
              </c:ext>
            </c:extLst>
          </c:dPt>
          <c:dPt>
            <c:idx val="36"/>
            <c:bubble3D val="0"/>
            <c:spPr>
              <a:solidFill>
                <a:schemeClr val="accent1">
                  <a:lumMod val="70000"/>
                  <a:lumOff val="30000"/>
                </a:schemeClr>
              </a:solidFill>
              <a:ln w="19050">
                <a:noFill/>
              </a:ln>
              <a:effectLst/>
            </c:spPr>
            <c:extLst>
              <c:ext xmlns:c16="http://schemas.microsoft.com/office/drawing/2014/chart" uri="{C3380CC4-5D6E-409C-BE32-E72D297353CC}">
                <c16:uniqueId val="{00000049-E56D-4869-A0C9-773C236FEF9A}"/>
              </c:ext>
            </c:extLst>
          </c:dPt>
          <c:dPt>
            <c:idx val="37"/>
            <c:bubble3D val="0"/>
            <c:spPr>
              <a:solidFill>
                <a:schemeClr val="accent2">
                  <a:lumMod val="70000"/>
                  <a:lumOff val="30000"/>
                </a:schemeClr>
              </a:solidFill>
              <a:ln w="19050">
                <a:noFill/>
              </a:ln>
              <a:effectLst/>
            </c:spPr>
            <c:extLst>
              <c:ext xmlns:c16="http://schemas.microsoft.com/office/drawing/2014/chart" uri="{C3380CC4-5D6E-409C-BE32-E72D297353CC}">
                <c16:uniqueId val="{0000004B-E56D-4869-A0C9-773C236FEF9A}"/>
              </c:ext>
            </c:extLst>
          </c:dPt>
          <c:dPt>
            <c:idx val="38"/>
            <c:bubble3D val="0"/>
            <c:spPr>
              <a:solidFill>
                <a:schemeClr val="accent3">
                  <a:lumMod val="70000"/>
                  <a:lumOff val="30000"/>
                </a:schemeClr>
              </a:solidFill>
              <a:ln w="19050">
                <a:noFill/>
              </a:ln>
              <a:effectLst/>
            </c:spPr>
            <c:extLst>
              <c:ext xmlns:c16="http://schemas.microsoft.com/office/drawing/2014/chart" uri="{C3380CC4-5D6E-409C-BE32-E72D297353CC}">
                <c16:uniqueId val="{0000004D-E56D-4869-A0C9-773C236FEF9A}"/>
              </c:ext>
            </c:extLst>
          </c:dPt>
          <c:dPt>
            <c:idx val="39"/>
            <c:bubble3D val="0"/>
            <c:spPr>
              <a:solidFill>
                <a:schemeClr val="accent4">
                  <a:lumMod val="70000"/>
                  <a:lumOff val="30000"/>
                </a:schemeClr>
              </a:solidFill>
              <a:ln w="19050">
                <a:noFill/>
              </a:ln>
              <a:effectLst/>
            </c:spPr>
            <c:extLst>
              <c:ext xmlns:c16="http://schemas.microsoft.com/office/drawing/2014/chart" uri="{C3380CC4-5D6E-409C-BE32-E72D297353CC}">
                <c16:uniqueId val="{0000004F-E56D-4869-A0C9-773C236FEF9A}"/>
              </c:ext>
            </c:extLst>
          </c:dPt>
          <c:dPt>
            <c:idx val="40"/>
            <c:bubble3D val="0"/>
            <c:spPr>
              <a:solidFill>
                <a:schemeClr val="accent5">
                  <a:lumMod val="70000"/>
                  <a:lumOff val="30000"/>
                </a:schemeClr>
              </a:solidFill>
              <a:ln w="19050">
                <a:noFill/>
              </a:ln>
              <a:effectLst/>
            </c:spPr>
            <c:extLst>
              <c:ext xmlns:c16="http://schemas.microsoft.com/office/drawing/2014/chart" uri="{C3380CC4-5D6E-409C-BE32-E72D297353CC}">
                <c16:uniqueId val="{00000051-E56D-4869-A0C9-773C236FEF9A}"/>
              </c:ext>
            </c:extLst>
          </c:dPt>
          <c:dPt>
            <c:idx val="41"/>
            <c:bubble3D val="0"/>
            <c:spPr>
              <a:solidFill>
                <a:schemeClr val="accent6">
                  <a:lumMod val="70000"/>
                  <a:lumOff val="30000"/>
                </a:schemeClr>
              </a:solidFill>
              <a:ln w="19050">
                <a:noFill/>
              </a:ln>
              <a:effectLst/>
            </c:spPr>
            <c:extLst>
              <c:ext xmlns:c16="http://schemas.microsoft.com/office/drawing/2014/chart" uri="{C3380CC4-5D6E-409C-BE32-E72D297353CC}">
                <c16:uniqueId val="{00000053-E56D-4869-A0C9-773C236FEF9A}"/>
              </c:ext>
            </c:extLst>
          </c:dPt>
          <c:dPt>
            <c:idx val="42"/>
            <c:bubble3D val="0"/>
            <c:spPr>
              <a:solidFill>
                <a:schemeClr val="accent1">
                  <a:lumMod val="70000"/>
                </a:schemeClr>
              </a:solidFill>
              <a:ln w="19050">
                <a:noFill/>
              </a:ln>
              <a:effectLst/>
            </c:spPr>
            <c:extLst>
              <c:ext xmlns:c16="http://schemas.microsoft.com/office/drawing/2014/chart" uri="{C3380CC4-5D6E-409C-BE32-E72D297353CC}">
                <c16:uniqueId val="{00000055-E56D-4869-A0C9-773C236FEF9A}"/>
              </c:ext>
            </c:extLst>
          </c:dPt>
          <c:dPt>
            <c:idx val="43"/>
            <c:bubble3D val="0"/>
            <c:spPr>
              <a:solidFill>
                <a:schemeClr val="accent2">
                  <a:lumMod val="70000"/>
                </a:schemeClr>
              </a:solidFill>
              <a:ln w="19050">
                <a:noFill/>
              </a:ln>
              <a:effectLst/>
            </c:spPr>
            <c:extLst>
              <c:ext xmlns:c16="http://schemas.microsoft.com/office/drawing/2014/chart" uri="{C3380CC4-5D6E-409C-BE32-E72D297353CC}">
                <c16:uniqueId val="{00000057-E56D-4869-A0C9-773C236FEF9A}"/>
              </c:ext>
            </c:extLst>
          </c:dPt>
          <c:dPt>
            <c:idx val="44"/>
            <c:bubble3D val="0"/>
            <c:spPr>
              <a:solidFill>
                <a:schemeClr val="accent3">
                  <a:lumMod val="70000"/>
                </a:schemeClr>
              </a:solidFill>
              <a:ln w="19050">
                <a:noFill/>
              </a:ln>
              <a:effectLst/>
            </c:spPr>
            <c:extLst>
              <c:ext xmlns:c16="http://schemas.microsoft.com/office/drawing/2014/chart" uri="{C3380CC4-5D6E-409C-BE32-E72D297353CC}">
                <c16:uniqueId val="{00000059-E56D-4869-A0C9-773C236FEF9A}"/>
              </c:ext>
            </c:extLst>
          </c:dPt>
          <c:dPt>
            <c:idx val="45"/>
            <c:bubble3D val="0"/>
            <c:spPr>
              <a:solidFill>
                <a:schemeClr val="accent4">
                  <a:lumMod val="70000"/>
                </a:schemeClr>
              </a:solidFill>
              <a:ln w="19050">
                <a:noFill/>
              </a:ln>
              <a:effectLst/>
            </c:spPr>
            <c:extLst>
              <c:ext xmlns:c16="http://schemas.microsoft.com/office/drawing/2014/chart" uri="{C3380CC4-5D6E-409C-BE32-E72D297353CC}">
                <c16:uniqueId val="{0000005B-E56D-4869-A0C9-773C236FEF9A}"/>
              </c:ext>
            </c:extLst>
          </c:dPt>
          <c:dPt>
            <c:idx val="46"/>
            <c:bubble3D val="0"/>
            <c:spPr>
              <a:solidFill>
                <a:schemeClr val="accent5">
                  <a:lumMod val="70000"/>
                </a:schemeClr>
              </a:solidFill>
              <a:ln w="19050">
                <a:noFill/>
              </a:ln>
              <a:effectLst/>
            </c:spPr>
            <c:extLst>
              <c:ext xmlns:c16="http://schemas.microsoft.com/office/drawing/2014/chart" uri="{C3380CC4-5D6E-409C-BE32-E72D297353CC}">
                <c16:uniqueId val="{0000005D-E56D-4869-A0C9-773C236FEF9A}"/>
              </c:ext>
            </c:extLst>
          </c:dPt>
          <c:dPt>
            <c:idx val="47"/>
            <c:bubble3D val="0"/>
            <c:spPr>
              <a:solidFill>
                <a:schemeClr val="accent6">
                  <a:lumMod val="70000"/>
                </a:schemeClr>
              </a:solidFill>
              <a:ln w="19050">
                <a:noFill/>
              </a:ln>
              <a:effectLst/>
            </c:spPr>
            <c:extLst>
              <c:ext xmlns:c16="http://schemas.microsoft.com/office/drawing/2014/chart" uri="{C3380CC4-5D6E-409C-BE32-E72D297353CC}">
                <c16:uniqueId val="{0000005F-E56D-4869-A0C9-773C236FEF9A}"/>
              </c:ext>
            </c:extLst>
          </c:dPt>
          <c:dPt>
            <c:idx val="48"/>
            <c:bubble3D val="0"/>
            <c:spPr>
              <a:solidFill>
                <a:schemeClr val="accent1">
                  <a:lumMod val="50000"/>
                  <a:lumOff val="50000"/>
                </a:schemeClr>
              </a:solidFill>
              <a:ln w="19050">
                <a:noFill/>
              </a:ln>
              <a:effectLst/>
            </c:spPr>
            <c:extLst>
              <c:ext xmlns:c16="http://schemas.microsoft.com/office/drawing/2014/chart" uri="{C3380CC4-5D6E-409C-BE32-E72D297353CC}">
                <c16:uniqueId val="{00000061-E56D-4869-A0C9-773C236FEF9A}"/>
              </c:ext>
            </c:extLst>
          </c:dPt>
          <c:dPt>
            <c:idx val="49"/>
            <c:bubble3D val="0"/>
            <c:spPr>
              <a:solidFill>
                <a:schemeClr val="accent2">
                  <a:lumMod val="50000"/>
                  <a:lumOff val="50000"/>
                </a:schemeClr>
              </a:solidFill>
              <a:ln w="19050">
                <a:noFill/>
              </a:ln>
              <a:effectLst/>
            </c:spPr>
            <c:extLst>
              <c:ext xmlns:c16="http://schemas.microsoft.com/office/drawing/2014/chart" uri="{C3380CC4-5D6E-409C-BE32-E72D297353CC}">
                <c16:uniqueId val="{00000063-E56D-4869-A0C9-773C236FEF9A}"/>
              </c:ext>
            </c:extLst>
          </c:dPt>
          <c:dPt>
            <c:idx val="50"/>
            <c:bubble3D val="0"/>
            <c:spPr>
              <a:solidFill>
                <a:schemeClr val="accent3">
                  <a:lumMod val="50000"/>
                  <a:lumOff val="50000"/>
                </a:schemeClr>
              </a:solidFill>
              <a:ln w="19050">
                <a:noFill/>
              </a:ln>
              <a:effectLst/>
            </c:spPr>
            <c:extLst>
              <c:ext xmlns:c16="http://schemas.microsoft.com/office/drawing/2014/chart" uri="{C3380CC4-5D6E-409C-BE32-E72D297353CC}">
                <c16:uniqueId val="{00000065-E56D-4869-A0C9-773C236FEF9A}"/>
              </c:ext>
            </c:extLst>
          </c:dPt>
          <c:dPt>
            <c:idx val="51"/>
            <c:bubble3D val="0"/>
            <c:spPr>
              <a:solidFill>
                <a:schemeClr val="accent4">
                  <a:lumMod val="50000"/>
                  <a:lumOff val="50000"/>
                </a:schemeClr>
              </a:solidFill>
              <a:ln w="19050">
                <a:noFill/>
              </a:ln>
              <a:effectLst/>
            </c:spPr>
            <c:extLst>
              <c:ext xmlns:c16="http://schemas.microsoft.com/office/drawing/2014/chart" uri="{C3380CC4-5D6E-409C-BE32-E72D297353CC}">
                <c16:uniqueId val="{00000067-E56D-4869-A0C9-773C236FEF9A}"/>
              </c:ext>
            </c:extLst>
          </c:dPt>
          <c:dPt>
            <c:idx val="52"/>
            <c:bubble3D val="0"/>
            <c:spPr>
              <a:solidFill>
                <a:schemeClr val="accent5">
                  <a:lumMod val="50000"/>
                  <a:lumOff val="50000"/>
                </a:schemeClr>
              </a:solidFill>
              <a:ln w="19050">
                <a:noFill/>
              </a:ln>
              <a:effectLst/>
            </c:spPr>
            <c:extLst>
              <c:ext xmlns:c16="http://schemas.microsoft.com/office/drawing/2014/chart" uri="{C3380CC4-5D6E-409C-BE32-E72D297353CC}">
                <c16:uniqueId val="{00000069-E56D-4869-A0C9-773C236FEF9A}"/>
              </c:ext>
            </c:extLst>
          </c:dPt>
          <c:dPt>
            <c:idx val="53"/>
            <c:bubble3D val="0"/>
            <c:spPr>
              <a:solidFill>
                <a:schemeClr val="accent6">
                  <a:lumMod val="50000"/>
                  <a:lumOff val="50000"/>
                </a:schemeClr>
              </a:solidFill>
              <a:ln w="19050">
                <a:noFill/>
              </a:ln>
              <a:effectLst/>
            </c:spPr>
            <c:extLst>
              <c:ext xmlns:c16="http://schemas.microsoft.com/office/drawing/2014/chart" uri="{C3380CC4-5D6E-409C-BE32-E72D297353CC}">
                <c16:uniqueId val="{0000006B-E56D-4869-A0C9-773C236FEF9A}"/>
              </c:ext>
            </c:extLst>
          </c:dPt>
          <c:dPt>
            <c:idx val="54"/>
            <c:bubble3D val="0"/>
            <c:spPr>
              <a:solidFill>
                <a:schemeClr val="accent1"/>
              </a:solidFill>
              <a:ln w="19050">
                <a:noFill/>
              </a:ln>
              <a:effectLst/>
            </c:spPr>
            <c:extLst>
              <c:ext xmlns:c16="http://schemas.microsoft.com/office/drawing/2014/chart" uri="{C3380CC4-5D6E-409C-BE32-E72D297353CC}">
                <c16:uniqueId val="{0000006D-E56D-4869-A0C9-773C236FEF9A}"/>
              </c:ext>
            </c:extLst>
          </c:dPt>
          <c:dPt>
            <c:idx val="55"/>
            <c:bubble3D val="0"/>
            <c:spPr>
              <a:solidFill>
                <a:schemeClr val="accent2"/>
              </a:solidFill>
              <a:ln w="19050">
                <a:noFill/>
              </a:ln>
              <a:effectLst/>
            </c:spPr>
            <c:extLst>
              <c:ext xmlns:c16="http://schemas.microsoft.com/office/drawing/2014/chart" uri="{C3380CC4-5D6E-409C-BE32-E72D297353CC}">
                <c16:uniqueId val="{0000006F-E56D-4869-A0C9-773C236FEF9A}"/>
              </c:ext>
            </c:extLst>
          </c:dPt>
          <c:dPt>
            <c:idx val="56"/>
            <c:bubble3D val="0"/>
            <c:spPr>
              <a:solidFill>
                <a:schemeClr val="accent3"/>
              </a:solidFill>
              <a:ln w="19050">
                <a:noFill/>
              </a:ln>
              <a:effectLst/>
            </c:spPr>
            <c:extLst>
              <c:ext xmlns:c16="http://schemas.microsoft.com/office/drawing/2014/chart" uri="{C3380CC4-5D6E-409C-BE32-E72D297353CC}">
                <c16:uniqueId val="{00000071-E56D-4869-A0C9-773C236FEF9A}"/>
              </c:ext>
            </c:extLst>
          </c:dPt>
          <c:dPt>
            <c:idx val="57"/>
            <c:bubble3D val="0"/>
            <c:spPr>
              <a:solidFill>
                <a:schemeClr val="accent4"/>
              </a:solidFill>
              <a:ln w="19050">
                <a:noFill/>
              </a:ln>
              <a:effectLst/>
            </c:spPr>
            <c:extLst>
              <c:ext xmlns:c16="http://schemas.microsoft.com/office/drawing/2014/chart" uri="{C3380CC4-5D6E-409C-BE32-E72D297353CC}">
                <c16:uniqueId val="{00000073-E56D-4869-A0C9-773C236FEF9A}"/>
              </c:ext>
            </c:extLst>
          </c:dPt>
          <c:dPt>
            <c:idx val="58"/>
            <c:bubble3D val="0"/>
            <c:spPr>
              <a:solidFill>
                <a:schemeClr val="accent5"/>
              </a:solidFill>
              <a:ln w="19050">
                <a:noFill/>
              </a:ln>
              <a:effectLst/>
            </c:spPr>
            <c:extLst>
              <c:ext xmlns:c16="http://schemas.microsoft.com/office/drawing/2014/chart" uri="{C3380CC4-5D6E-409C-BE32-E72D297353CC}">
                <c16:uniqueId val="{00000075-E56D-4869-A0C9-773C236FEF9A}"/>
              </c:ext>
            </c:extLst>
          </c:dPt>
          <c:dPt>
            <c:idx val="59"/>
            <c:bubble3D val="0"/>
            <c:spPr>
              <a:solidFill>
                <a:schemeClr val="accent6"/>
              </a:solidFill>
              <a:ln w="19050">
                <a:noFill/>
              </a:ln>
              <a:effectLst/>
            </c:spPr>
            <c:extLst>
              <c:ext xmlns:c16="http://schemas.microsoft.com/office/drawing/2014/chart" uri="{C3380CC4-5D6E-409C-BE32-E72D297353CC}">
                <c16:uniqueId val="{00000077-E56D-4869-A0C9-773C236FEF9A}"/>
              </c:ext>
            </c:extLst>
          </c:dPt>
          <c:dPt>
            <c:idx val="60"/>
            <c:bubble3D val="0"/>
            <c:spPr>
              <a:solidFill>
                <a:schemeClr val="accent1">
                  <a:lumMod val="60000"/>
                </a:schemeClr>
              </a:solidFill>
              <a:ln w="19050">
                <a:noFill/>
              </a:ln>
              <a:effectLst/>
            </c:spPr>
            <c:extLst>
              <c:ext xmlns:c16="http://schemas.microsoft.com/office/drawing/2014/chart" uri="{C3380CC4-5D6E-409C-BE32-E72D297353CC}">
                <c16:uniqueId val="{00000079-E56D-4869-A0C9-773C236FEF9A}"/>
              </c:ext>
            </c:extLst>
          </c:dPt>
          <c:dPt>
            <c:idx val="61"/>
            <c:bubble3D val="0"/>
            <c:spPr>
              <a:solidFill>
                <a:schemeClr val="accent2">
                  <a:lumMod val="60000"/>
                </a:schemeClr>
              </a:solidFill>
              <a:ln w="19050">
                <a:noFill/>
              </a:ln>
              <a:effectLst/>
            </c:spPr>
            <c:extLst>
              <c:ext xmlns:c16="http://schemas.microsoft.com/office/drawing/2014/chart" uri="{C3380CC4-5D6E-409C-BE32-E72D297353CC}">
                <c16:uniqueId val="{0000007B-E56D-4869-A0C9-773C236FEF9A}"/>
              </c:ext>
            </c:extLst>
          </c:dPt>
          <c:dPt>
            <c:idx val="62"/>
            <c:bubble3D val="0"/>
            <c:spPr>
              <a:solidFill>
                <a:schemeClr val="accent3">
                  <a:lumMod val="60000"/>
                </a:schemeClr>
              </a:solidFill>
              <a:ln w="19050">
                <a:noFill/>
              </a:ln>
              <a:effectLst/>
            </c:spPr>
            <c:extLst>
              <c:ext xmlns:c16="http://schemas.microsoft.com/office/drawing/2014/chart" uri="{C3380CC4-5D6E-409C-BE32-E72D297353CC}">
                <c16:uniqueId val="{0000007D-E56D-4869-A0C9-773C236FEF9A}"/>
              </c:ext>
            </c:extLst>
          </c:dPt>
          <c:dPt>
            <c:idx val="63"/>
            <c:bubble3D val="0"/>
            <c:spPr>
              <a:solidFill>
                <a:schemeClr val="accent4">
                  <a:lumMod val="60000"/>
                </a:schemeClr>
              </a:solidFill>
              <a:ln w="19050">
                <a:noFill/>
              </a:ln>
              <a:effectLst/>
            </c:spPr>
            <c:extLst>
              <c:ext xmlns:c16="http://schemas.microsoft.com/office/drawing/2014/chart" uri="{C3380CC4-5D6E-409C-BE32-E72D297353CC}">
                <c16:uniqueId val="{0000007F-E56D-4869-A0C9-773C236FEF9A}"/>
              </c:ext>
            </c:extLst>
          </c:dPt>
          <c:dPt>
            <c:idx val="64"/>
            <c:bubble3D val="0"/>
            <c:spPr>
              <a:solidFill>
                <a:schemeClr val="accent5">
                  <a:lumMod val="60000"/>
                </a:schemeClr>
              </a:solidFill>
              <a:ln w="19050">
                <a:noFill/>
              </a:ln>
              <a:effectLst/>
            </c:spPr>
            <c:extLst>
              <c:ext xmlns:c16="http://schemas.microsoft.com/office/drawing/2014/chart" uri="{C3380CC4-5D6E-409C-BE32-E72D297353CC}">
                <c16:uniqueId val="{00000081-E56D-4869-A0C9-773C236FEF9A}"/>
              </c:ext>
            </c:extLst>
          </c:dPt>
          <c:dPt>
            <c:idx val="65"/>
            <c:bubble3D val="0"/>
            <c:spPr>
              <a:solidFill>
                <a:schemeClr val="accent6">
                  <a:lumMod val="60000"/>
                </a:schemeClr>
              </a:solidFill>
              <a:ln w="19050">
                <a:noFill/>
              </a:ln>
              <a:effectLst/>
            </c:spPr>
            <c:extLst>
              <c:ext xmlns:c16="http://schemas.microsoft.com/office/drawing/2014/chart" uri="{C3380CC4-5D6E-409C-BE32-E72D297353CC}">
                <c16:uniqueId val="{00000083-E56D-4869-A0C9-773C236FEF9A}"/>
              </c:ext>
            </c:extLst>
          </c:dPt>
          <c:dPt>
            <c:idx val="66"/>
            <c:bubble3D val="0"/>
            <c:spPr>
              <a:solidFill>
                <a:schemeClr val="accent1">
                  <a:lumMod val="80000"/>
                  <a:lumOff val="20000"/>
                </a:schemeClr>
              </a:solidFill>
              <a:ln w="19050">
                <a:noFill/>
              </a:ln>
              <a:effectLst/>
            </c:spPr>
            <c:extLst>
              <c:ext xmlns:c16="http://schemas.microsoft.com/office/drawing/2014/chart" uri="{C3380CC4-5D6E-409C-BE32-E72D297353CC}">
                <c16:uniqueId val="{00000085-E56D-4869-A0C9-773C236FEF9A}"/>
              </c:ext>
            </c:extLst>
          </c:dPt>
          <c:dPt>
            <c:idx val="67"/>
            <c:bubble3D val="0"/>
            <c:spPr>
              <a:solidFill>
                <a:schemeClr val="accent2">
                  <a:lumMod val="80000"/>
                  <a:lumOff val="20000"/>
                </a:schemeClr>
              </a:solidFill>
              <a:ln w="19050">
                <a:noFill/>
              </a:ln>
              <a:effectLst/>
            </c:spPr>
            <c:extLst>
              <c:ext xmlns:c16="http://schemas.microsoft.com/office/drawing/2014/chart" uri="{C3380CC4-5D6E-409C-BE32-E72D297353CC}">
                <c16:uniqueId val="{00000087-E56D-4869-A0C9-773C236FEF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'national side'!$A$4:$A$12</c:f>
              <c:strCache>
                <c:ptCount val="8"/>
                <c:pt idx="0">
                  <c:v>India</c:v>
                </c:pt>
                <c:pt idx="1">
                  <c:v>Australia</c:v>
                </c:pt>
                <c:pt idx="2">
                  <c:v>England</c:v>
                </c:pt>
                <c:pt idx="3">
                  <c:v>New Zealand</c:v>
                </c:pt>
                <c:pt idx="4">
                  <c:v>South Africa</c:v>
                </c:pt>
                <c:pt idx="5">
                  <c:v>Sri Lanka</c:v>
                </c:pt>
                <c:pt idx="6">
                  <c:v>West Indies</c:v>
                </c:pt>
                <c:pt idx="7">
                  <c:v>(blank)</c:v>
                </c:pt>
              </c:strCache>
            </c:strRef>
          </c:cat>
          <c:val>
            <c:numRef>
              <c:f>'national side'!$B$4:$B$12</c:f>
              <c:numCache>
                <c:formatCode>General</c:formatCode>
                <c:ptCount val="8"/>
                <c:pt idx="0">
                  <c:v>13</c:v>
                </c:pt>
                <c:pt idx="1">
                  <c:v>3</c:v>
                </c:pt>
                <c:pt idx="2">
                  <c:v>1</c:v>
                </c:pt>
                <c:pt idx="3">
                  <c:v>1</c:v>
                </c:pt>
                <c:pt idx="4">
                  <c:v>1</c:v>
                </c:pt>
                <c:pt idx="5">
                  <c:v>1</c:v>
                </c:pt>
                <c:pt idx="6">
                  <c:v>1</c:v>
                </c:pt>
              </c:numCache>
            </c:numRef>
          </c:val>
          <c:extLst>
            <c:ext xmlns:c16="http://schemas.microsoft.com/office/drawing/2014/chart" uri="{C3380CC4-5D6E-409C-BE32-E72D297353CC}">
              <c16:uniqueId val="{00000088-E56D-4869-A0C9-773C236FEF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[IPL_Dashboard.xlsx]6's!PivotTable10</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
                <a:schemeClr val="accent1">
                  <a:lumMod val="75000"/>
                </a:schemeClr>
              </a:gs>
              <a:gs pos="100000">
                <a:srgbClr val="002060"/>
              </a:gs>
            </a:gsLst>
            <a:lin ang="5400000" scaled="0"/>
          </a:gradFill>
          <a:ln>
            <a:noFill/>
          </a:ln>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6000">
                <a:srgbClr val="00B0F0"/>
              </a:gs>
              <a:gs pos="100000">
                <a:srgbClr val="002060"/>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33758257385504E-2"/>
          <c:y val="0.20887332922433169"/>
          <c:w val="0.99459220471498544"/>
          <c:h val="0.6097124112531489"/>
        </c:manualLayout>
      </c:layout>
      <c:barChart>
        <c:barDir val="col"/>
        <c:grouping val="clustered"/>
        <c:varyColors val="0"/>
        <c:ser>
          <c:idx val="0"/>
          <c:order val="0"/>
          <c:tx>
            <c:strRef>
              <c:f>'6''s'!$B$3</c:f>
              <c:strCache>
                <c:ptCount val="1"/>
                <c:pt idx="0">
                  <c:v>Sum of 4s</c:v>
                </c:pt>
              </c:strCache>
            </c:strRef>
          </c:tx>
          <c:spPr>
            <a:gradFill>
              <a:gsLst>
                <a:gs pos="10000">
                  <a:schemeClr val="accent1">
                    <a:lumMod val="75000"/>
                  </a:schemeClr>
                </a:gs>
                <a:gs pos="100000">
                  <a:srgbClr val="002060"/>
                </a:gs>
              </a:gsLst>
              <a:lin ang="5400000" scaled="0"/>
            </a:gradFill>
            <a:ln>
              <a:noFill/>
            </a:ln>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'6''s'!$A$4:$A$11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'6''s'!$B$4:$B$11</c:f>
              <c:numCache>
                <c:formatCode>General</c:formatCode>
                <c:ptCount val="7"/>
                <c:pt idx="0">
                  <c:v>546</c:v>
                </c:pt>
                <c:pt idx="1">
                  <c:v>399</c:v>
                </c:pt>
                <c:pt idx="2">
                  <c:v>265</c:v>
                </c:pt>
                <c:pt idx="3">
                  <c:v>166</c:v>
                </c:pt>
                <c:pt idx="4">
                  <c:v>18</c:v>
                </c:pt>
                <c:pt idx="5">
                  <c:v>11</c:v>
                </c:pt>
                <c:pt idx="6">
                  <c:v>8</c:v>
                </c:pt>
              </c:numCache>
            </c:numRef>
          </c:val>
          <c:extLst>
            <c:ext xmlns:c16="http://schemas.microsoft.com/office/drawing/2014/chart" uri="{C3380CC4-5D6E-409C-BE32-E72D297353CC}">
              <c16:uniqueId val="{00000000-E435-438F-87C0-8CB6B7436C8F}"/>
            </c:ext>
          </c:extLst>
        </c:ser>
        <c:ser>
          <c:idx val="1"/>
          <c:order val="1"/>
          <c:tx>
            <c:strRef>
              <c:f>'6''s'!$C$3</c:f>
              <c:strCache>
                <c:ptCount val="1"/>
                <c:pt idx="0">
                  <c:v>Sum of 6s</c:v>
                </c:pt>
              </c:strCache>
            </c:strRef>
          </c:tx>
          <c:spPr>
            <a:gradFill>
              <a:gsLst>
                <a:gs pos="6000">
                  <a:srgbClr val="00B0F0"/>
                </a:gs>
                <a:gs pos="100000">
                  <a:srgbClr val="002060"/>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'6''s'!$A$4:$A$11</c:f>
              <c:strCache>
                <c:ptCount val="7"/>
                <c:pt idx="0">
                  <c:v>Virat Kohli</c:v>
                </c:pt>
                <c:pt idx="1">
                  <c:v>Dinesh Karthik</c:v>
                </c:pt>
                <c:pt idx="2">
                  <c:v>Faf du Plessis</c:v>
                </c:pt>
                <c:pt idx="3">
                  <c:v>Glenn Maxwell</c:v>
                </c:pt>
                <c:pt idx="4">
                  <c:v>Karn Sharma</c:v>
                </c:pt>
                <c:pt idx="5">
                  <c:v>Harshal Patel</c:v>
                </c:pt>
                <c:pt idx="6">
                  <c:v>Mahipal Lomror</c:v>
                </c:pt>
              </c:strCache>
            </c:strRef>
          </c:cat>
          <c:val>
            <c:numRef>
              <c:f>'6''s'!$C$4:$C$11</c:f>
              <c:numCache>
                <c:formatCode>General</c:formatCode>
                <c:ptCount val="7"/>
                <c:pt idx="0">
                  <c:v>210</c:v>
                </c:pt>
                <c:pt idx="1">
                  <c:v>112</c:v>
                </c:pt>
                <c:pt idx="2">
                  <c:v>96</c:v>
                </c:pt>
                <c:pt idx="3">
                  <c:v>112</c:v>
                </c:pt>
                <c:pt idx="4">
                  <c:v>14</c:v>
                </c:pt>
                <c:pt idx="5">
                  <c:v>11</c:v>
                </c:pt>
                <c:pt idx="6">
                  <c:v>9</c:v>
                </c:pt>
              </c:numCache>
            </c:numRef>
          </c:val>
          <c:extLst>
            <c:ext xmlns:c16="http://schemas.microsoft.com/office/drawing/2014/chart" uri="{C3380CC4-5D6E-409C-BE32-E72D297353CC}">
              <c16:uniqueId val="{00000001-E435-438F-87C0-8CB6B7436C8F}"/>
            </c:ext>
          </c:extLst>
        </c:ser>
        <c:dLbls>
          <c:dLblPos val="outEnd"/>
          <c:showLegendKey val="0"/>
          <c:showVal val="1"/>
          <c:showCatName val="0"/>
          <c:showSerName val="0"/>
          <c:showPercent val="0"/>
          <c:showBubbleSize val="0"/>
        </c:dLbls>
        <c:gapWidth val="93"/>
        <c:overlap val="-27"/>
        <c:axId val="740647391"/>
        <c:axId val="740665631"/>
      </c:barChart>
      <c:catAx>
        <c:axId val="7406473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40665631"/>
        <c:crosses val="autoZero"/>
        <c:auto val="1"/>
        <c:lblAlgn val="ctr"/>
        <c:lblOffset val="100"/>
        <c:noMultiLvlLbl val="0"/>
      </c:catAx>
      <c:valAx>
        <c:axId val="740665631"/>
        <c:scaling>
          <c:orientation val="minMax"/>
        </c:scaling>
        <c:delete val="1"/>
        <c:axPos val="l"/>
        <c:numFmt formatCode="General" sourceLinked="1"/>
        <c:majorTickMark val="none"/>
        <c:minorTickMark val="none"/>
        <c:tickLblPos val="nextTo"/>
        <c:crossAx val="740647391"/>
        <c:crosses val="autoZero"/>
        <c:crossBetween val="between"/>
      </c:valAx>
      <c:spPr>
        <a:noFill/>
        <a:ln>
          <a:noFill/>
        </a:ln>
        <a:effectLst/>
      </c:spPr>
    </c:plotArea>
    <c:legend>
      <c:legendPos val="t"/>
      <c:layout>
        <c:manualLayout>
          <c:xMode val="edge"/>
          <c:yMode val="edge"/>
          <c:x val="0.60037738669435414"/>
          <c:y val="5.2534550774436493E-2"/>
          <c:w val="0.35312649642687577"/>
          <c:h val="9.890240728331958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963404BB-FDB6-4494-8E54-5ECE20DECA16}">
          <cx:tx>
            <cx:txData>
              <cx:f>_xlchart.v1.1</cx:f>
              <cx:v/>
            </cx:txData>
          </cx:tx>
          <cx:spPr>
            <a:ln>
              <a:solidFill>
                <a:schemeClr val="lt1">
                  <a:shade val="50000"/>
                </a:schemeClr>
              </a:solidFill>
            </a:ln>
          </cx:spPr>
          <cx:dataPt idx="0">
            <cx:spPr>
              <a:solidFill>
                <a:srgbClr val="4472C4">
                  <a:lumMod val="50000"/>
                </a:srgbClr>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160020</xdr:colOff>
      <xdr:row>0</xdr:row>
      <xdr:rowOff>175260</xdr:rowOff>
    </xdr:from>
    <xdr:to>
      <xdr:col>12</xdr:col>
      <xdr:colOff>464820</xdr:colOff>
      <xdr:row>15</xdr:row>
      <xdr:rowOff>175260</xdr:rowOff>
    </xdr:to>
    <xdr:graphicFrame macro="">
      <xdr:nvGraphicFramePr>
        <xdr:cNvPr id="7" name="Chart 6">
          <a:extLst>
            <a:ext uri="{FF2B5EF4-FFF2-40B4-BE49-F238E27FC236}">
              <a16:creationId xmlns:a16="http://schemas.microsoft.com/office/drawing/2014/main" id="{B762BBD0-B6C3-7ACA-3B6C-27DD515B8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289560</xdr:colOff>
      <xdr:row>9</xdr:row>
      <xdr:rowOff>160020</xdr:rowOff>
    </xdr:from>
    <xdr:to>
      <xdr:col>11</xdr:col>
      <xdr:colOff>594360</xdr:colOff>
      <xdr:row>24</xdr:row>
      <xdr:rowOff>160020</xdr:rowOff>
    </xdr:to>
    <xdr:graphicFrame macro="">
      <xdr:nvGraphicFramePr>
        <xdr:cNvPr id="4" name="Chart 3">
          <a:extLst>
            <a:ext uri="{FF2B5EF4-FFF2-40B4-BE49-F238E27FC236}">
              <a16:creationId xmlns:a16="http://schemas.microsoft.com/office/drawing/2014/main" id="{9048718E-E88C-3742-0DE7-4A19786CB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495300</xdr:colOff>
      <xdr:row>5</xdr:row>
      <xdr:rowOff>45720</xdr:rowOff>
    </xdr:from>
    <xdr:to>
      <xdr:col>10</xdr:col>
      <xdr:colOff>190500</xdr:colOff>
      <xdr:row>20</xdr:row>
      <xdr:rowOff>45720</xdr:rowOff>
    </xdr:to>
    <xdr:graphicFrame macro="">
      <xdr:nvGraphicFramePr>
        <xdr:cNvPr id="2" name="Chart 1">
          <a:extLst>
            <a:ext uri="{FF2B5EF4-FFF2-40B4-BE49-F238E27FC236}">
              <a16:creationId xmlns:a16="http://schemas.microsoft.com/office/drawing/2014/main" id="{36E9DA0D-C7EE-96E5-2911-A1A9DDEE16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5</xdr:row>
      <xdr:rowOff>45720</xdr:rowOff>
    </xdr:from>
    <xdr:to>
      <xdr:col>10</xdr:col>
      <xdr:colOff>594360</xdr:colOff>
      <xdr:row>20</xdr:row>
      <xdr:rowOff>45720</xdr:rowOff>
    </xdr:to>
    <xdr:graphicFrame macro="">
      <xdr:nvGraphicFramePr>
        <xdr:cNvPr id="2" name="Chart 1">
          <a:extLst>
            <a:ext uri="{FF2B5EF4-FFF2-40B4-BE49-F238E27FC236}">
              <a16:creationId xmlns:a16="http://schemas.microsoft.com/office/drawing/2014/main" id="{B685E086-F9E2-9787-4C6F-CE626D7CF6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2</xdr:row>
      <xdr:rowOff>0</xdr:rowOff>
    </xdr:from>
    <xdr:to>
      <xdr:col>17</xdr:col>
      <xdr:colOff>343988</xdr:colOff>
      <xdr:row>12</xdr:row>
      <xdr:rowOff>97971</xdr:rowOff>
    </xdr:to>
    <xdr:graphicFrame macro="">
      <xdr:nvGraphicFramePr>
        <xdr:cNvPr id="3" name="Chart 2">
          <a:extLst>
            <a:ext uri="{FF2B5EF4-FFF2-40B4-BE49-F238E27FC236}">
              <a16:creationId xmlns:a16="http://schemas.microsoft.com/office/drawing/2014/main" id="{76E822F2-1895-4AEB-B8A3-4B50ECB69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403860</xdr:colOff>
      <xdr:row>0</xdr:row>
      <xdr:rowOff>99060</xdr:rowOff>
    </xdr:from>
    <xdr:to>
      <xdr:col>5</xdr:col>
      <xdr:colOff>198120</xdr:colOff>
      <xdr:row>9</xdr:row>
      <xdr:rowOff>152400</xdr:rowOff>
    </xdr:to>
    <mc:AlternateContent xmlns:mc="http://schemas.openxmlformats.org/markup-compatibility/2006" xmlns:a14="http://schemas.microsoft.com/office/drawing/2010/main">
      <mc:Choice Requires="a14">
        <xdr:graphicFrame macro="">
          <xdr:nvGraphicFramePr>
            <xdr:cNvPr id="2" name="Team">
              <a:extLst>
                <a:ext uri="{FF2B5EF4-FFF2-40B4-BE49-F238E27FC236}">
                  <a16:creationId xmlns:a16="http://schemas.microsoft.com/office/drawing/2014/main" id="{71DEEB5A-6F9D-5C4F-6324-1F76907833ED}"/>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3596640" y="99060"/>
              <a:ext cx="1333500" cy="1699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16747</xdr:colOff>
      <xdr:row>0</xdr:row>
      <xdr:rowOff>126554</xdr:rowOff>
    </xdr:from>
    <xdr:to>
      <xdr:col>23</xdr:col>
      <xdr:colOff>374887</xdr:colOff>
      <xdr:row>40</xdr:row>
      <xdr:rowOff>40557</xdr:rowOff>
    </xdr:to>
    <xdr:sp macro="" textlink="">
      <xdr:nvSpPr>
        <xdr:cNvPr id="2" name="Rectangle 1">
          <a:extLst>
            <a:ext uri="{FF2B5EF4-FFF2-40B4-BE49-F238E27FC236}">
              <a16:creationId xmlns:a16="http://schemas.microsoft.com/office/drawing/2014/main" id="{D5FAE451-F158-D31B-99C7-E5C6F6A23B19}"/>
            </a:ext>
          </a:extLst>
        </xdr:cNvPr>
        <xdr:cNvSpPr/>
      </xdr:nvSpPr>
      <xdr:spPr>
        <a:xfrm>
          <a:off x="16747" y="126554"/>
          <a:ext cx="14417459" cy="7282794"/>
        </a:xfrm>
        <a:prstGeom prst="rect">
          <a:avLst/>
        </a:prstGeom>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103909</xdr:colOff>
      <xdr:row>0</xdr:row>
      <xdr:rowOff>173182</xdr:rowOff>
    </xdr:from>
    <xdr:to>
      <xdr:col>23</xdr:col>
      <xdr:colOff>313113</xdr:colOff>
      <xdr:row>4</xdr:row>
      <xdr:rowOff>33943</xdr:rowOff>
    </xdr:to>
    <xdr:sp macro="" textlink="">
      <xdr:nvSpPr>
        <xdr:cNvPr id="3" name="Rectangle: Rounded Corners 2">
          <a:extLst>
            <a:ext uri="{FF2B5EF4-FFF2-40B4-BE49-F238E27FC236}">
              <a16:creationId xmlns:a16="http://schemas.microsoft.com/office/drawing/2014/main" id="{26837306-89F3-2C3E-AFFF-0EF02144B66E}"/>
            </a:ext>
          </a:extLst>
        </xdr:cNvPr>
        <xdr:cNvSpPr/>
      </xdr:nvSpPr>
      <xdr:spPr>
        <a:xfrm>
          <a:off x="103909" y="173182"/>
          <a:ext cx="14230004" cy="581197"/>
        </a:xfrm>
        <a:prstGeom prst="roundRect">
          <a:avLst>
            <a:gd name="adj" fmla="val 8025"/>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ctr"/>
        <a:lstStyle/>
        <a:p>
          <a:pPr algn="ctr"/>
          <a:r>
            <a:rPr lang="en-US" sz="3200">
              <a:solidFill>
                <a:schemeClr val="accent6">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IPL PLAYER'S</a:t>
          </a:r>
          <a:r>
            <a:rPr lang="en-US" sz="3200" baseline="0">
              <a:solidFill>
                <a:schemeClr val="accent6">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 </a:t>
          </a:r>
          <a:r>
            <a:rPr lang="en-US" sz="3200">
              <a:solidFill>
                <a:schemeClr val="accent6">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rPr>
            <a:t>STAT DASHBOARD</a:t>
          </a:r>
          <a:endParaRPr lang="en-US" sz="1100">
            <a:solidFill>
              <a:schemeClr val="accent6">
                <a:lumMod val="20000"/>
                <a:lumOff val="8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0</xdr:col>
      <xdr:colOff>111760</xdr:colOff>
      <xdr:row>4</xdr:row>
      <xdr:rowOff>110289</xdr:rowOff>
    </xdr:from>
    <xdr:to>
      <xdr:col>2</xdr:col>
      <xdr:colOff>345440</xdr:colOff>
      <xdr:row>39</xdr:row>
      <xdr:rowOff>0</xdr:rowOff>
    </xdr:to>
    <xdr:sp macro="" textlink="">
      <xdr:nvSpPr>
        <xdr:cNvPr id="4" name="Rectangle: Rounded Corners 3">
          <a:extLst>
            <a:ext uri="{FF2B5EF4-FFF2-40B4-BE49-F238E27FC236}">
              <a16:creationId xmlns:a16="http://schemas.microsoft.com/office/drawing/2014/main" id="{FDA67CCE-F939-6013-6A3A-4DC3DFCA9D7C}"/>
            </a:ext>
          </a:extLst>
        </xdr:cNvPr>
        <xdr:cNvSpPr/>
      </xdr:nvSpPr>
      <xdr:spPr>
        <a:xfrm>
          <a:off x="111760" y="832184"/>
          <a:ext cx="1456891" cy="6206290"/>
        </a:xfrm>
        <a:prstGeom prst="roundRect">
          <a:avLst>
            <a:gd name="adj" fmla="val 2681"/>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215900</xdr:colOff>
      <xdr:row>5</xdr:row>
      <xdr:rowOff>45720</xdr:rowOff>
    </xdr:from>
    <xdr:to>
      <xdr:col>2</xdr:col>
      <xdr:colOff>223520</xdr:colOff>
      <xdr:row>38</xdr:row>
      <xdr:rowOff>130342</xdr:rowOff>
    </xdr:to>
    <mc:AlternateContent xmlns:mc="http://schemas.openxmlformats.org/markup-compatibility/2006" xmlns:a14="http://schemas.microsoft.com/office/drawing/2010/main">
      <mc:Choice Requires="a14">
        <xdr:graphicFrame macro="">
          <xdr:nvGraphicFramePr>
            <xdr:cNvPr id="5" name="Team 1">
              <a:extLst>
                <a:ext uri="{FF2B5EF4-FFF2-40B4-BE49-F238E27FC236}">
                  <a16:creationId xmlns:a16="http://schemas.microsoft.com/office/drawing/2014/main" id="{1F93F9A0-FB26-426A-AA19-862B8CDCCBF7}"/>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215900" y="960120"/>
              <a:ext cx="1226820" cy="597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538613</xdr:colOff>
      <xdr:row>4</xdr:row>
      <xdr:rowOff>121252</xdr:rowOff>
    </xdr:from>
    <xdr:to>
      <xdr:col>6</xdr:col>
      <xdr:colOff>91573</xdr:colOff>
      <xdr:row>10</xdr:row>
      <xdr:rowOff>22058</xdr:rowOff>
    </xdr:to>
    <xdr:grpSp>
      <xdr:nvGrpSpPr>
        <xdr:cNvPr id="27" name="Group 26">
          <a:extLst>
            <a:ext uri="{FF2B5EF4-FFF2-40B4-BE49-F238E27FC236}">
              <a16:creationId xmlns:a16="http://schemas.microsoft.com/office/drawing/2014/main" id="{EDDD95E9-4F97-AE9E-F46A-8317538DC76A}"/>
            </a:ext>
          </a:extLst>
        </xdr:cNvPr>
        <xdr:cNvGrpSpPr/>
      </xdr:nvGrpSpPr>
      <xdr:grpSpPr>
        <a:xfrm>
          <a:off x="1754388" y="840443"/>
          <a:ext cx="1984511" cy="979593"/>
          <a:chOff x="1727200" y="802640"/>
          <a:chExt cx="2265680" cy="1005840"/>
        </a:xfrm>
      </xdr:grpSpPr>
      <xdr:sp macro="" textlink="">
        <xdr:nvSpPr>
          <xdr:cNvPr id="6" name="Rectangle: Rounded Corners 5">
            <a:extLst>
              <a:ext uri="{FF2B5EF4-FFF2-40B4-BE49-F238E27FC236}">
                <a16:creationId xmlns:a16="http://schemas.microsoft.com/office/drawing/2014/main" id="{8CFDA736-76D1-62B3-83D4-701CED2F12FC}"/>
              </a:ext>
            </a:extLst>
          </xdr:cNvPr>
          <xdr:cNvSpPr/>
        </xdr:nvSpPr>
        <xdr:spPr>
          <a:xfrm>
            <a:off x="1727200" y="80264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13" name="TextBox 12">
            <a:extLst>
              <a:ext uri="{FF2B5EF4-FFF2-40B4-BE49-F238E27FC236}">
                <a16:creationId xmlns:a16="http://schemas.microsoft.com/office/drawing/2014/main" id="{1002FB28-2757-243F-9FC9-1846D3DE5C4F}"/>
              </a:ext>
            </a:extLst>
          </xdr:cNvPr>
          <xdr:cNvSpPr txBox="1"/>
        </xdr:nvSpPr>
        <xdr:spPr>
          <a:xfrm>
            <a:off x="1910080" y="853440"/>
            <a:ext cx="1940560" cy="36576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Team</a:t>
            </a:r>
            <a:r>
              <a:rPr lang="en-US" sz="14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Name</a:t>
            </a:r>
            <a:endPar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3">
        <xdr:nvSpPr>
          <xdr:cNvPr id="15" name="TextBox 14">
            <a:extLst>
              <a:ext uri="{FF2B5EF4-FFF2-40B4-BE49-F238E27FC236}">
                <a16:creationId xmlns:a16="http://schemas.microsoft.com/office/drawing/2014/main" id="{4A2A6442-3E59-AF30-E389-F2A4FA66FB12}"/>
              </a:ext>
            </a:extLst>
          </xdr:cNvPr>
          <xdr:cNvSpPr txBox="1"/>
        </xdr:nvSpPr>
        <xdr:spPr>
          <a:xfrm>
            <a:off x="2194560" y="120904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4219DAD0-14C2-4EFA-A11C-675A3973CCF9}"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RCB</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6</xdr:col>
      <xdr:colOff>162693</xdr:colOff>
      <xdr:row>4</xdr:row>
      <xdr:rowOff>111092</xdr:rowOff>
    </xdr:from>
    <xdr:to>
      <xdr:col>9</xdr:col>
      <xdr:colOff>345573</xdr:colOff>
      <xdr:row>10</xdr:row>
      <xdr:rowOff>22058</xdr:rowOff>
    </xdr:to>
    <xdr:grpSp>
      <xdr:nvGrpSpPr>
        <xdr:cNvPr id="28" name="Group 27">
          <a:extLst>
            <a:ext uri="{FF2B5EF4-FFF2-40B4-BE49-F238E27FC236}">
              <a16:creationId xmlns:a16="http://schemas.microsoft.com/office/drawing/2014/main" id="{62EEB2BB-8C85-C48E-6393-23CC2EC755F2}"/>
            </a:ext>
          </a:extLst>
        </xdr:cNvPr>
        <xdr:cNvGrpSpPr/>
      </xdr:nvGrpSpPr>
      <xdr:grpSpPr>
        <a:xfrm>
          <a:off x="3810019" y="830283"/>
          <a:ext cx="2006543" cy="989753"/>
          <a:chOff x="4318000" y="802640"/>
          <a:chExt cx="2265680" cy="1005840"/>
        </a:xfrm>
      </xdr:grpSpPr>
      <xdr:sp macro="" textlink="">
        <xdr:nvSpPr>
          <xdr:cNvPr id="7" name="Rectangle: Rounded Corners 6">
            <a:extLst>
              <a:ext uri="{FF2B5EF4-FFF2-40B4-BE49-F238E27FC236}">
                <a16:creationId xmlns:a16="http://schemas.microsoft.com/office/drawing/2014/main" id="{E84C4387-BF67-FC1D-B9F9-F89E6FFBF04D}"/>
              </a:ext>
            </a:extLst>
          </xdr:cNvPr>
          <xdr:cNvSpPr/>
        </xdr:nvSpPr>
        <xdr:spPr>
          <a:xfrm>
            <a:off x="4318000" y="80264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14" name="TextBox 13">
            <a:extLst>
              <a:ext uri="{FF2B5EF4-FFF2-40B4-BE49-F238E27FC236}">
                <a16:creationId xmlns:a16="http://schemas.microsoft.com/office/drawing/2014/main" id="{FB01C153-4564-4226-8562-344CBCE0BC25}"/>
              </a:ext>
            </a:extLst>
          </xdr:cNvPr>
          <xdr:cNvSpPr txBox="1"/>
        </xdr:nvSpPr>
        <xdr:spPr>
          <a:xfrm>
            <a:off x="4511040" y="843280"/>
            <a:ext cx="1940560" cy="36576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Player</a:t>
            </a:r>
            <a:endPar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L3">
        <xdr:nvSpPr>
          <xdr:cNvPr id="16" name="TextBox 15">
            <a:extLst>
              <a:ext uri="{FF2B5EF4-FFF2-40B4-BE49-F238E27FC236}">
                <a16:creationId xmlns:a16="http://schemas.microsoft.com/office/drawing/2014/main" id="{12A7E984-D62F-B8FC-0134-7BCF47AA2359}"/>
              </a:ext>
            </a:extLst>
          </xdr:cNvPr>
          <xdr:cNvSpPr txBox="1"/>
        </xdr:nvSpPr>
        <xdr:spPr>
          <a:xfrm>
            <a:off x="4765040" y="119888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8E7FC84E-68E1-4020-BC38-C0A9CDC2584C}"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22</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9</xdr:col>
      <xdr:colOff>416693</xdr:colOff>
      <xdr:row>4</xdr:row>
      <xdr:rowOff>100932</xdr:rowOff>
    </xdr:from>
    <xdr:to>
      <xdr:col>13</xdr:col>
      <xdr:colOff>10293</xdr:colOff>
      <xdr:row>10</xdr:row>
      <xdr:rowOff>11898</xdr:rowOff>
    </xdr:to>
    <xdr:grpSp>
      <xdr:nvGrpSpPr>
        <xdr:cNvPr id="29" name="Group 28">
          <a:extLst>
            <a:ext uri="{FF2B5EF4-FFF2-40B4-BE49-F238E27FC236}">
              <a16:creationId xmlns:a16="http://schemas.microsoft.com/office/drawing/2014/main" id="{977BB86C-B1BC-19AA-C168-0F43B222D835}"/>
            </a:ext>
          </a:extLst>
        </xdr:cNvPr>
        <xdr:cNvGrpSpPr/>
      </xdr:nvGrpSpPr>
      <xdr:grpSpPr>
        <a:xfrm>
          <a:off x="5887682" y="820123"/>
          <a:ext cx="2025150" cy="989753"/>
          <a:chOff x="6898640" y="792480"/>
          <a:chExt cx="2265680" cy="1005840"/>
        </a:xfrm>
      </xdr:grpSpPr>
      <xdr:sp macro="" textlink="">
        <xdr:nvSpPr>
          <xdr:cNvPr id="8" name="Rectangle: Rounded Corners 7">
            <a:extLst>
              <a:ext uri="{FF2B5EF4-FFF2-40B4-BE49-F238E27FC236}">
                <a16:creationId xmlns:a16="http://schemas.microsoft.com/office/drawing/2014/main" id="{28A99AF2-D46D-7932-69B1-A70F4E4471D6}"/>
              </a:ext>
            </a:extLst>
          </xdr:cNvPr>
          <xdr:cNvSpPr/>
        </xdr:nvSpPr>
        <xdr:spPr>
          <a:xfrm>
            <a:off x="6898640" y="79248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17" name="TextBox 16">
            <a:extLst>
              <a:ext uri="{FF2B5EF4-FFF2-40B4-BE49-F238E27FC236}">
                <a16:creationId xmlns:a16="http://schemas.microsoft.com/office/drawing/2014/main" id="{0E636B91-723F-F396-B177-E0E0B72D1E93}"/>
              </a:ext>
            </a:extLst>
          </xdr:cNvPr>
          <xdr:cNvSpPr txBox="1"/>
        </xdr:nvSpPr>
        <xdr:spPr>
          <a:xfrm>
            <a:off x="7071360" y="833120"/>
            <a:ext cx="1940560" cy="36576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All-Rounder</a:t>
            </a:r>
            <a:endPar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20">
        <xdr:nvSpPr>
          <xdr:cNvPr id="18" name="TextBox 17">
            <a:extLst>
              <a:ext uri="{FF2B5EF4-FFF2-40B4-BE49-F238E27FC236}">
                <a16:creationId xmlns:a16="http://schemas.microsoft.com/office/drawing/2014/main" id="{DFB0451D-B920-A737-77F0-55444977DA4D}"/>
              </a:ext>
            </a:extLst>
          </xdr:cNvPr>
          <xdr:cNvSpPr txBox="1"/>
        </xdr:nvSpPr>
        <xdr:spPr>
          <a:xfrm>
            <a:off x="7325360" y="118872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D7C1C48F-6BD2-4FFA-B009-580DC77D25C4}"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9</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13</xdr:col>
      <xdr:colOff>71253</xdr:colOff>
      <xdr:row>4</xdr:row>
      <xdr:rowOff>90772</xdr:rowOff>
    </xdr:from>
    <xdr:to>
      <xdr:col>16</xdr:col>
      <xdr:colOff>284613</xdr:colOff>
      <xdr:row>10</xdr:row>
      <xdr:rowOff>1738</xdr:rowOff>
    </xdr:to>
    <xdr:grpSp>
      <xdr:nvGrpSpPr>
        <xdr:cNvPr id="30" name="Group 29">
          <a:extLst>
            <a:ext uri="{FF2B5EF4-FFF2-40B4-BE49-F238E27FC236}">
              <a16:creationId xmlns:a16="http://schemas.microsoft.com/office/drawing/2014/main" id="{E36C1FF7-F273-E3CD-936D-563BA8257D39}"/>
            </a:ext>
          </a:extLst>
        </xdr:cNvPr>
        <xdr:cNvGrpSpPr/>
      </xdr:nvGrpSpPr>
      <xdr:grpSpPr>
        <a:xfrm>
          <a:off x="7973792" y="809963"/>
          <a:ext cx="2037023" cy="989753"/>
          <a:chOff x="9458960" y="792480"/>
          <a:chExt cx="2265680" cy="1005840"/>
        </a:xfrm>
      </xdr:grpSpPr>
      <xdr:sp macro="" textlink="">
        <xdr:nvSpPr>
          <xdr:cNvPr id="11" name="Rectangle: Rounded Corners 10">
            <a:extLst>
              <a:ext uri="{FF2B5EF4-FFF2-40B4-BE49-F238E27FC236}">
                <a16:creationId xmlns:a16="http://schemas.microsoft.com/office/drawing/2014/main" id="{64A6C6B8-78EE-C458-AB1A-739093F4F308}"/>
              </a:ext>
            </a:extLst>
          </xdr:cNvPr>
          <xdr:cNvSpPr/>
        </xdr:nvSpPr>
        <xdr:spPr>
          <a:xfrm>
            <a:off x="9458960" y="79248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A8C24BA7-4668-1517-26D1-9D091838C995}"/>
              </a:ext>
            </a:extLst>
          </xdr:cNvPr>
          <xdr:cNvSpPr txBox="1"/>
        </xdr:nvSpPr>
        <xdr:spPr>
          <a:xfrm>
            <a:off x="9682480" y="863600"/>
            <a:ext cx="1940560" cy="36576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Batsman</a:t>
            </a:r>
            <a:endPar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21">
        <xdr:nvSpPr>
          <xdr:cNvPr id="20" name="TextBox 19">
            <a:extLst>
              <a:ext uri="{FF2B5EF4-FFF2-40B4-BE49-F238E27FC236}">
                <a16:creationId xmlns:a16="http://schemas.microsoft.com/office/drawing/2014/main" id="{C844054C-4A99-A444-E0BC-8BB95935836E}"/>
              </a:ext>
            </a:extLst>
          </xdr:cNvPr>
          <xdr:cNvSpPr txBox="1"/>
        </xdr:nvSpPr>
        <xdr:spPr>
          <a:xfrm>
            <a:off x="9936480" y="121920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8D390809-7315-4ED0-A738-0C47EEAE811A}"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3</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16</xdr:col>
      <xdr:colOff>345573</xdr:colOff>
      <xdr:row>4</xdr:row>
      <xdr:rowOff>90772</xdr:rowOff>
    </xdr:from>
    <xdr:to>
      <xdr:col>19</xdr:col>
      <xdr:colOff>589413</xdr:colOff>
      <xdr:row>10</xdr:row>
      <xdr:rowOff>1738</xdr:rowOff>
    </xdr:to>
    <xdr:grpSp>
      <xdr:nvGrpSpPr>
        <xdr:cNvPr id="31" name="Group 30">
          <a:extLst>
            <a:ext uri="{FF2B5EF4-FFF2-40B4-BE49-F238E27FC236}">
              <a16:creationId xmlns:a16="http://schemas.microsoft.com/office/drawing/2014/main" id="{172733C2-258F-00C1-16D6-C58A4CE45DCC}"/>
            </a:ext>
          </a:extLst>
        </xdr:cNvPr>
        <xdr:cNvGrpSpPr/>
      </xdr:nvGrpSpPr>
      <xdr:grpSpPr>
        <a:xfrm>
          <a:off x="10071775" y="809963"/>
          <a:ext cx="2067503" cy="989753"/>
          <a:chOff x="12059920" y="792480"/>
          <a:chExt cx="2265680" cy="1005840"/>
        </a:xfrm>
      </xdr:grpSpPr>
      <xdr:sp macro="" textlink="">
        <xdr:nvSpPr>
          <xdr:cNvPr id="12" name="Rectangle: Rounded Corners 11">
            <a:extLst>
              <a:ext uri="{FF2B5EF4-FFF2-40B4-BE49-F238E27FC236}">
                <a16:creationId xmlns:a16="http://schemas.microsoft.com/office/drawing/2014/main" id="{12E7B306-8BFC-FA95-5D53-248D88A30342}"/>
              </a:ext>
            </a:extLst>
          </xdr:cNvPr>
          <xdr:cNvSpPr/>
        </xdr:nvSpPr>
        <xdr:spPr>
          <a:xfrm>
            <a:off x="12059920" y="79248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35F7EE74-5248-458A-59E1-CAFD3B05AFB2}"/>
              </a:ext>
            </a:extLst>
          </xdr:cNvPr>
          <xdr:cNvSpPr txBox="1"/>
        </xdr:nvSpPr>
        <xdr:spPr>
          <a:xfrm>
            <a:off x="12222480" y="843280"/>
            <a:ext cx="1940560" cy="36576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4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Bowler</a:t>
            </a:r>
            <a:endParaRPr lang="en-US" sz="14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22">
        <xdr:nvSpPr>
          <xdr:cNvPr id="22" name="TextBox 21">
            <a:extLst>
              <a:ext uri="{FF2B5EF4-FFF2-40B4-BE49-F238E27FC236}">
                <a16:creationId xmlns:a16="http://schemas.microsoft.com/office/drawing/2014/main" id="{11FE09CD-A48D-57EF-7030-A5BB149A894C}"/>
              </a:ext>
            </a:extLst>
          </xdr:cNvPr>
          <xdr:cNvSpPr txBox="1"/>
        </xdr:nvSpPr>
        <xdr:spPr>
          <a:xfrm>
            <a:off x="12476480" y="119888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8BA22DA6-0473-4295-A719-579F22C8565E}"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7</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20</xdr:col>
      <xdr:colOff>50933</xdr:colOff>
      <xdr:row>4</xdr:row>
      <xdr:rowOff>80374</xdr:rowOff>
    </xdr:from>
    <xdr:to>
      <xdr:col>23</xdr:col>
      <xdr:colOff>294773</xdr:colOff>
      <xdr:row>9</xdr:row>
      <xdr:rowOff>172052</xdr:rowOff>
    </xdr:to>
    <xdr:grpSp>
      <xdr:nvGrpSpPr>
        <xdr:cNvPr id="32" name="Group 31">
          <a:extLst>
            <a:ext uri="{FF2B5EF4-FFF2-40B4-BE49-F238E27FC236}">
              <a16:creationId xmlns:a16="http://schemas.microsoft.com/office/drawing/2014/main" id="{F8623EBA-74AC-B715-122F-C34EC8189F59}"/>
            </a:ext>
          </a:extLst>
        </xdr:cNvPr>
        <xdr:cNvGrpSpPr/>
      </xdr:nvGrpSpPr>
      <xdr:grpSpPr>
        <a:xfrm>
          <a:off x="12208686" y="799565"/>
          <a:ext cx="2067503" cy="990667"/>
          <a:chOff x="12059920" y="792480"/>
          <a:chExt cx="2265680" cy="1005840"/>
        </a:xfrm>
      </xdr:grpSpPr>
      <xdr:sp macro="" textlink="">
        <xdr:nvSpPr>
          <xdr:cNvPr id="33" name="Rectangle: Rounded Corners 32">
            <a:extLst>
              <a:ext uri="{FF2B5EF4-FFF2-40B4-BE49-F238E27FC236}">
                <a16:creationId xmlns:a16="http://schemas.microsoft.com/office/drawing/2014/main" id="{2AA51A9E-6A3D-8507-E6A2-2B2EB4231ED0}"/>
              </a:ext>
            </a:extLst>
          </xdr:cNvPr>
          <xdr:cNvSpPr/>
        </xdr:nvSpPr>
        <xdr:spPr>
          <a:xfrm>
            <a:off x="12059920" y="792480"/>
            <a:ext cx="2265680" cy="1005840"/>
          </a:xfrm>
          <a:prstGeom prst="roundRect">
            <a:avLst>
              <a:gd name="adj" fmla="val 2526"/>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sp macro="" textlink="">
        <xdr:nvSpPr>
          <xdr:cNvPr id="34" name="TextBox 33">
            <a:extLst>
              <a:ext uri="{FF2B5EF4-FFF2-40B4-BE49-F238E27FC236}">
                <a16:creationId xmlns:a16="http://schemas.microsoft.com/office/drawing/2014/main" id="{11C80346-6D7C-E036-20A0-C5BB20A6A444}"/>
              </a:ext>
            </a:extLst>
          </xdr:cNvPr>
          <xdr:cNvSpPr txBox="1"/>
        </xdr:nvSpPr>
        <xdr:spPr>
          <a:xfrm>
            <a:off x="12222480" y="832896"/>
            <a:ext cx="1947632" cy="498064"/>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r>
              <a:rPr lang="en-US"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Total</a:t>
            </a:r>
            <a:r>
              <a:rPr lang="en-US" sz="1200" baseline="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rPr>
              <a:t> Wicket-Keeper</a:t>
            </a:r>
            <a:endParaRPr lang="en-US" sz="1200">
              <a:solidFill>
                <a:schemeClr val="bg1">
                  <a:lumMod val="95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23">
        <xdr:nvSpPr>
          <xdr:cNvPr id="35" name="TextBox 34">
            <a:extLst>
              <a:ext uri="{FF2B5EF4-FFF2-40B4-BE49-F238E27FC236}">
                <a16:creationId xmlns:a16="http://schemas.microsoft.com/office/drawing/2014/main" id="{E1613EE3-F77E-96D4-8535-03FF292677F5}"/>
              </a:ext>
            </a:extLst>
          </xdr:cNvPr>
          <xdr:cNvSpPr txBox="1"/>
        </xdr:nvSpPr>
        <xdr:spPr>
          <a:xfrm>
            <a:off x="12476480" y="1198880"/>
            <a:ext cx="1391920" cy="497840"/>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ctr"/>
            <a:fld id="{0DCFE3B9-02BF-40D6-9B05-C33FBBDA0BB3}" type="TxLink">
              <a:rPr lang="en-US" sz="2000" b="0" i="0" u="none" strike="noStrike">
                <a:solidFill>
                  <a:schemeClr val="bg1"/>
                </a:solidFill>
                <a:latin typeface="LATO BLACK" panose="020F0502020204030203" pitchFamily="34" charset="0"/>
                <a:ea typeface="LATO BLACK" panose="020F0502020204030203" pitchFamily="34" charset="0"/>
                <a:cs typeface="LATO BLACK" panose="020F0502020204030203" pitchFamily="34" charset="0"/>
              </a:rPr>
              <a:pPr algn="ctr"/>
              <a:t>3</a:t>
            </a:fld>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grpSp>
    <xdr:clientData/>
  </xdr:twoCellAnchor>
  <xdr:twoCellAnchor>
    <xdr:from>
      <xdr:col>2</xdr:col>
      <xdr:colOff>527136</xdr:colOff>
      <xdr:row>10</xdr:row>
      <xdr:rowOff>112351</xdr:rowOff>
    </xdr:from>
    <xdr:to>
      <xdr:col>13</xdr:col>
      <xdr:colOff>1718</xdr:colOff>
      <xdr:row>23</xdr:row>
      <xdr:rowOff>92031</xdr:rowOff>
    </xdr:to>
    <xdr:sp macro="" textlink="">
      <xdr:nvSpPr>
        <xdr:cNvPr id="9" name="Rectangle: Rounded Corners 8">
          <a:extLst>
            <a:ext uri="{FF2B5EF4-FFF2-40B4-BE49-F238E27FC236}">
              <a16:creationId xmlns:a16="http://schemas.microsoft.com/office/drawing/2014/main" id="{A800D290-1373-0EDD-0F9E-C0BAC1A3395B}"/>
            </a:ext>
          </a:extLst>
        </xdr:cNvPr>
        <xdr:cNvSpPr/>
      </xdr:nvSpPr>
      <xdr:spPr>
        <a:xfrm>
          <a:off x="1750347" y="1917088"/>
          <a:ext cx="6202239" cy="2325838"/>
        </a:xfrm>
        <a:prstGeom prst="roundRect">
          <a:avLst>
            <a:gd name="adj" fmla="val 2063"/>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69935</xdr:colOff>
      <xdr:row>10</xdr:row>
      <xdr:rowOff>112351</xdr:rowOff>
    </xdr:from>
    <xdr:to>
      <xdr:col>23</xdr:col>
      <xdr:colOff>295632</xdr:colOff>
      <xdr:row>23</xdr:row>
      <xdr:rowOff>92031</xdr:rowOff>
    </xdr:to>
    <xdr:sp macro="" textlink="">
      <xdr:nvSpPr>
        <xdr:cNvPr id="10" name="Rectangle: Rounded Corners 9">
          <a:extLst>
            <a:ext uri="{FF2B5EF4-FFF2-40B4-BE49-F238E27FC236}">
              <a16:creationId xmlns:a16="http://schemas.microsoft.com/office/drawing/2014/main" id="{0FD87B6E-8BF0-2959-C053-F8FF249A1F37}"/>
            </a:ext>
          </a:extLst>
        </xdr:cNvPr>
        <xdr:cNvSpPr/>
      </xdr:nvSpPr>
      <xdr:spPr>
        <a:xfrm>
          <a:off x="8020803" y="1917088"/>
          <a:ext cx="6341750" cy="2325838"/>
        </a:xfrm>
        <a:prstGeom prst="roundRect">
          <a:avLst>
            <a:gd name="adj" fmla="val 2063"/>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130629</xdr:colOff>
      <xdr:row>12</xdr:row>
      <xdr:rowOff>108856</xdr:rowOff>
    </xdr:from>
    <xdr:to>
      <xdr:col>12</xdr:col>
      <xdr:colOff>413657</xdr:colOff>
      <xdr:row>22</xdr:row>
      <xdr:rowOff>185056</xdr:rowOff>
    </xdr:to>
    <xdr:graphicFrame macro="">
      <xdr:nvGraphicFramePr>
        <xdr:cNvPr id="23" name="Chart 22">
          <a:extLst>
            <a:ext uri="{FF2B5EF4-FFF2-40B4-BE49-F238E27FC236}">
              <a16:creationId xmlns:a16="http://schemas.microsoft.com/office/drawing/2014/main" id="{E2034284-474F-4BF3-AADC-2F95776FEC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185057</xdr:colOff>
      <xdr:row>10</xdr:row>
      <xdr:rowOff>152400</xdr:rowOff>
    </xdr:from>
    <xdr:to>
      <xdr:col>7</xdr:col>
      <xdr:colOff>468086</xdr:colOff>
      <xdr:row>12</xdr:row>
      <xdr:rowOff>76200</xdr:rowOff>
    </xdr:to>
    <xdr:sp macro="" textlink="">
      <xdr:nvSpPr>
        <xdr:cNvPr id="24" name="TextBox 23">
          <a:extLst>
            <a:ext uri="{FF2B5EF4-FFF2-40B4-BE49-F238E27FC236}">
              <a16:creationId xmlns:a16="http://schemas.microsoft.com/office/drawing/2014/main" id="{5F8A0C5F-EBE4-9159-F96A-F4BC3D3D5BF7}"/>
            </a:ext>
          </a:extLst>
        </xdr:cNvPr>
        <xdr:cNvSpPr txBox="1"/>
      </xdr:nvSpPr>
      <xdr:spPr>
        <a:xfrm>
          <a:off x="2013857" y="2002971"/>
          <a:ext cx="2721429"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rPr>
            <a:t>Top 7 Run Scorer</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13</xdr:col>
      <xdr:colOff>337457</xdr:colOff>
      <xdr:row>12</xdr:row>
      <xdr:rowOff>152400</xdr:rowOff>
    </xdr:from>
    <xdr:to>
      <xdr:col>23</xdr:col>
      <xdr:colOff>174171</xdr:colOff>
      <xdr:row>23</xdr:row>
      <xdr:rowOff>10885</xdr:rowOff>
    </xdr:to>
    <xdr:graphicFrame macro="">
      <xdr:nvGraphicFramePr>
        <xdr:cNvPr id="25" name="Chart 24">
          <a:extLst>
            <a:ext uri="{FF2B5EF4-FFF2-40B4-BE49-F238E27FC236}">
              <a16:creationId xmlns:a16="http://schemas.microsoft.com/office/drawing/2014/main" id="{06B6FAE9-FDB5-43AA-B2FE-04A0E355C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348342</xdr:colOff>
      <xdr:row>10</xdr:row>
      <xdr:rowOff>152400</xdr:rowOff>
    </xdr:from>
    <xdr:to>
      <xdr:col>18</xdr:col>
      <xdr:colOff>21771</xdr:colOff>
      <xdr:row>12</xdr:row>
      <xdr:rowOff>76200</xdr:rowOff>
    </xdr:to>
    <xdr:sp macro="" textlink="">
      <xdr:nvSpPr>
        <xdr:cNvPr id="26" name="TextBox 25">
          <a:extLst>
            <a:ext uri="{FF2B5EF4-FFF2-40B4-BE49-F238E27FC236}">
              <a16:creationId xmlns:a16="http://schemas.microsoft.com/office/drawing/2014/main" id="{781C0089-1641-E096-A53B-48F3CEF5B2F5}"/>
            </a:ext>
          </a:extLst>
        </xdr:cNvPr>
        <xdr:cNvSpPr txBox="1"/>
      </xdr:nvSpPr>
      <xdr:spPr>
        <a:xfrm>
          <a:off x="8273142" y="2002971"/>
          <a:ext cx="2721429" cy="293915"/>
        </a:xfrm>
        <a:prstGeom prst="rect">
          <a:avLst/>
        </a:prstGeom>
        <a:ln>
          <a:noFill/>
        </a:ln>
      </xdr:spPr>
      <xdr:style>
        <a:lnRef idx="3">
          <a:schemeClr val="lt1"/>
        </a:lnRef>
        <a:fillRef idx="1">
          <a:schemeClr val="accent1"/>
        </a:fillRef>
        <a:effectRef idx="1">
          <a:schemeClr val="accent1"/>
        </a:effectRef>
        <a:fontRef idx="minor">
          <a:schemeClr val="lt1"/>
        </a:fontRef>
      </xdr:style>
      <xdr:txBody>
        <a:bodyPr vertOverflow="clip" horzOverflow="clip" wrap="square" rtlCol="0" anchor="ctr"/>
        <a:lstStyle/>
        <a:p>
          <a:pPr algn="l"/>
          <a:r>
            <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rPr>
            <a:t>Top 7 Wicket</a:t>
          </a:r>
          <a:r>
            <a:rPr lang="en-US"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Taker</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xdr:col>
      <xdr:colOff>536304</xdr:colOff>
      <xdr:row>24</xdr:row>
      <xdr:rowOff>32659</xdr:rowOff>
    </xdr:from>
    <xdr:to>
      <xdr:col>10</xdr:col>
      <xdr:colOff>228600</xdr:colOff>
      <xdr:row>39</xdr:row>
      <xdr:rowOff>1</xdr:rowOff>
    </xdr:to>
    <xdr:sp macro="" textlink="">
      <xdr:nvSpPr>
        <xdr:cNvPr id="38" name="Rectangle: Rounded Corners 37">
          <a:extLst>
            <a:ext uri="{FF2B5EF4-FFF2-40B4-BE49-F238E27FC236}">
              <a16:creationId xmlns:a16="http://schemas.microsoft.com/office/drawing/2014/main" id="{6D95BFB7-2363-DCA3-08D4-C21552BC24E3}"/>
            </a:ext>
          </a:extLst>
        </xdr:cNvPr>
        <xdr:cNvSpPr/>
      </xdr:nvSpPr>
      <xdr:spPr>
        <a:xfrm>
          <a:off x="1755504" y="4474030"/>
          <a:ext cx="4569096" cy="2743200"/>
        </a:xfrm>
        <a:prstGeom prst="roundRect">
          <a:avLst>
            <a:gd name="adj" fmla="val 2063"/>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296818</xdr:colOff>
      <xdr:row>24</xdr:row>
      <xdr:rowOff>37011</xdr:rowOff>
    </xdr:from>
    <xdr:to>
      <xdr:col>17</xdr:col>
      <xdr:colOff>87085</xdr:colOff>
      <xdr:row>38</xdr:row>
      <xdr:rowOff>174172</xdr:rowOff>
    </xdr:to>
    <xdr:sp macro="" textlink="">
      <xdr:nvSpPr>
        <xdr:cNvPr id="41" name="Rectangle: Rounded Corners 40">
          <a:extLst>
            <a:ext uri="{FF2B5EF4-FFF2-40B4-BE49-F238E27FC236}">
              <a16:creationId xmlns:a16="http://schemas.microsoft.com/office/drawing/2014/main" id="{33F78815-789B-7D5A-A104-9626BB94E9AE}"/>
            </a:ext>
          </a:extLst>
        </xdr:cNvPr>
        <xdr:cNvSpPr/>
      </xdr:nvSpPr>
      <xdr:spPr>
        <a:xfrm>
          <a:off x="6392818" y="4478382"/>
          <a:ext cx="4057467" cy="2727961"/>
        </a:xfrm>
        <a:prstGeom prst="roundRect">
          <a:avLst>
            <a:gd name="adj" fmla="val 2063"/>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296818</xdr:colOff>
      <xdr:row>25</xdr:row>
      <xdr:rowOff>119742</xdr:rowOff>
    </xdr:from>
    <xdr:to>
      <xdr:col>17</xdr:col>
      <xdr:colOff>76200</xdr:colOff>
      <xdr:row>39</xdr:row>
      <xdr:rowOff>4353</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E93CA290-1AA8-445A-8F73-1AF074367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92818" y="4691742"/>
              <a:ext cx="4046582" cy="244493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381000</xdr:colOff>
      <xdr:row>24</xdr:row>
      <xdr:rowOff>43543</xdr:rowOff>
    </xdr:from>
    <xdr:to>
      <xdr:col>15</xdr:col>
      <xdr:colOff>54429</xdr:colOff>
      <xdr:row>25</xdr:row>
      <xdr:rowOff>152400</xdr:rowOff>
    </xdr:to>
    <xdr:sp macro="" textlink="">
      <xdr:nvSpPr>
        <xdr:cNvPr id="43" name="TextBox 42">
          <a:extLst>
            <a:ext uri="{FF2B5EF4-FFF2-40B4-BE49-F238E27FC236}">
              <a16:creationId xmlns:a16="http://schemas.microsoft.com/office/drawing/2014/main" id="{C33E2815-BA1C-5720-1383-2B11C1B6FC47}"/>
            </a:ext>
          </a:extLst>
        </xdr:cNvPr>
        <xdr:cNvSpPr txBox="1"/>
      </xdr:nvSpPr>
      <xdr:spPr>
        <a:xfrm>
          <a:off x="6477000" y="4484914"/>
          <a:ext cx="2721429"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rPr>
            <a:t>Most</a:t>
          </a:r>
          <a:r>
            <a:rPr lang="en-US"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6's &amp; 4's by player's</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xdr:col>
      <xdr:colOff>43543</xdr:colOff>
      <xdr:row>25</xdr:row>
      <xdr:rowOff>174171</xdr:rowOff>
    </xdr:from>
    <xdr:to>
      <xdr:col>10</xdr:col>
      <xdr:colOff>185056</xdr:colOff>
      <xdr:row>38</xdr:row>
      <xdr:rowOff>54429</xdr:rowOff>
    </xdr:to>
    <xdr:graphicFrame macro="">
      <xdr:nvGraphicFramePr>
        <xdr:cNvPr id="44" name="Chart 43">
          <a:extLst>
            <a:ext uri="{FF2B5EF4-FFF2-40B4-BE49-F238E27FC236}">
              <a16:creationId xmlns:a16="http://schemas.microsoft.com/office/drawing/2014/main" id="{8DC9D32F-E21E-45A1-BEAC-7429F48C2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43543</xdr:colOff>
      <xdr:row>24</xdr:row>
      <xdr:rowOff>43543</xdr:rowOff>
    </xdr:from>
    <xdr:to>
      <xdr:col>7</xdr:col>
      <xdr:colOff>326572</xdr:colOff>
      <xdr:row>25</xdr:row>
      <xdr:rowOff>152400</xdr:rowOff>
    </xdr:to>
    <xdr:sp macro="" textlink="">
      <xdr:nvSpPr>
        <xdr:cNvPr id="45" name="TextBox 44">
          <a:extLst>
            <a:ext uri="{FF2B5EF4-FFF2-40B4-BE49-F238E27FC236}">
              <a16:creationId xmlns:a16="http://schemas.microsoft.com/office/drawing/2014/main" id="{B5F9435E-5F49-7D26-F6C2-F8DD2B49B14B}"/>
            </a:ext>
          </a:extLst>
        </xdr:cNvPr>
        <xdr:cNvSpPr txBox="1"/>
      </xdr:nvSpPr>
      <xdr:spPr>
        <a:xfrm>
          <a:off x="1872343" y="4484914"/>
          <a:ext cx="2721429" cy="2939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rPr>
            <a:t>Most</a:t>
          </a:r>
          <a:r>
            <a:rPr lang="en-US"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Matches Played</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152400</xdr:colOff>
      <xdr:row>24</xdr:row>
      <xdr:rowOff>47897</xdr:rowOff>
    </xdr:from>
    <xdr:to>
      <xdr:col>23</xdr:col>
      <xdr:colOff>304799</xdr:colOff>
      <xdr:row>39</xdr:row>
      <xdr:rowOff>0</xdr:rowOff>
    </xdr:to>
    <xdr:sp macro="" textlink="">
      <xdr:nvSpPr>
        <xdr:cNvPr id="46" name="Rectangle: Rounded Corners 45">
          <a:extLst>
            <a:ext uri="{FF2B5EF4-FFF2-40B4-BE49-F238E27FC236}">
              <a16:creationId xmlns:a16="http://schemas.microsoft.com/office/drawing/2014/main" id="{A9D01FA3-FBDA-99EA-CBA1-6301FD8538C0}"/>
            </a:ext>
          </a:extLst>
        </xdr:cNvPr>
        <xdr:cNvSpPr/>
      </xdr:nvSpPr>
      <xdr:spPr>
        <a:xfrm>
          <a:off x="10515600" y="4489268"/>
          <a:ext cx="3809999" cy="2727961"/>
        </a:xfrm>
        <a:prstGeom prst="roundRect">
          <a:avLst>
            <a:gd name="adj" fmla="val 2063"/>
          </a:avLst>
        </a:prstGeom>
        <a:ln/>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152400</xdr:colOff>
      <xdr:row>26</xdr:row>
      <xdr:rowOff>10884</xdr:rowOff>
    </xdr:from>
    <xdr:to>
      <xdr:col>23</xdr:col>
      <xdr:colOff>315686</xdr:colOff>
      <xdr:row>39</xdr:row>
      <xdr:rowOff>15238</xdr:rowOff>
    </xdr:to>
    <xdr:graphicFrame macro="">
      <xdr:nvGraphicFramePr>
        <xdr:cNvPr id="47" name="Chart 46">
          <a:extLst>
            <a:ext uri="{FF2B5EF4-FFF2-40B4-BE49-F238E27FC236}">
              <a16:creationId xmlns:a16="http://schemas.microsoft.com/office/drawing/2014/main" id="{29AA4310-08BE-4D6F-B4CE-0D29AF511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213527</xdr:colOff>
      <xdr:row>24</xdr:row>
      <xdr:rowOff>68664</xdr:rowOff>
    </xdr:from>
    <xdr:to>
      <xdr:col>21</xdr:col>
      <xdr:colOff>498231</xdr:colOff>
      <xdr:row>25</xdr:row>
      <xdr:rowOff>177521</xdr:rowOff>
    </xdr:to>
    <xdr:sp macro="" textlink="">
      <xdr:nvSpPr>
        <xdr:cNvPr id="48" name="TextBox 47">
          <a:extLst>
            <a:ext uri="{FF2B5EF4-FFF2-40B4-BE49-F238E27FC236}">
              <a16:creationId xmlns:a16="http://schemas.microsoft.com/office/drawing/2014/main" id="{747A0835-B7E8-C112-B4CD-7154AD2CD49B}"/>
            </a:ext>
          </a:extLst>
        </xdr:cNvPr>
        <xdr:cNvSpPr txBox="1"/>
      </xdr:nvSpPr>
      <xdr:spPr>
        <a:xfrm>
          <a:off x="10605197" y="4489939"/>
          <a:ext cx="2729803" cy="2930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bg1"/>
              </a:solidFill>
              <a:latin typeface="Lato black" panose="020F0502020204030203" pitchFamily="34" charset="0"/>
              <a:ea typeface="Lato black" panose="020F0502020204030203" pitchFamily="34" charset="0"/>
              <a:cs typeface="Lato black" panose="020F0502020204030203" pitchFamily="34" charset="0"/>
            </a:rPr>
            <a:t>Player</a:t>
          </a:r>
          <a:r>
            <a:rPr lang="en-US" sz="1400" baseline="0">
              <a:solidFill>
                <a:schemeClr val="bg1"/>
              </a:solidFill>
              <a:latin typeface="Lato black" panose="020F0502020204030203" pitchFamily="34" charset="0"/>
              <a:ea typeface="Lato black" panose="020F0502020204030203" pitchFamily="34" charset="0"/>
              <a:cs typeface="Lato black" panose="020F0502020204030203" pitchFamily="34" charset="0"/>
            </a:rPr>
            <a:t> Nationality</a:t>
          </a:r>
          <a:endParaRPr lang="en-US" sz="1100">
            <a:solidFill>
              <a:schemeClr val="bg1"/>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10</xdr:col>
      <xdr:colOff>330869</xdr:colOff>
      <xdr:row>25</xdr:row>
      <xdr:rowOff>170447</xdr:rowOff>
    </xdr:from>
    <xdr:to>
      <xdr:col>17</xdr:col>
      <xdr:colOff>10027</xdr:colOff>
      <xdr:row>38</xdr:row>
      <xdr:rowOff>0</xdr:rowOff>
    </xdr:to>
    <xdr:graphicFrame macro="">
      <xdr:nvGraphicFramePr>
        <xdr:cNvPr id="53" name="Chart 52">
          <a:extLst>
            <a:ext uri="{FF2B5EF4-FFF2-40B4-BE49-F238E27FC236}">
              <a16:creationId xmlns:a16="http://schemas.microsoft.com/office/drawing/2014/main" id="{12EA3E13-DFEB-4204-83B8-86953B5E6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062.663862037036" createdVersion="8" refreshedVersion="8" minRefreshableVersion="3" recordCount="237" xr:uid="{00000000-000A-0000-FFFF-FFFF0B000000}">
  <cacheSource type="worksheet">
    <worksheetSource name="Table1"/>
  </cacheSource>
  <cacheFields count="39">
    <cacheField name="Name" numFmtId="0">
      <sharedItems count="237">
        <s v="Mayank Agarwal"/>
        <s v="Liam Livingstone"/>
        <s v="Kagiso Rabada"/>
        <s v="Shahrukh Khan"/>
        <s v="Shikhar Dhawan"/>
        <s v="Jonny Bairstow"/>
        <s v="Odean Smith"/>
        <s v="Rahul Chahar"/>
        <s v="Arshdeep Singh"/>
        <s v="Harpreet Brar"/>
        <s v="Vaibhav Arora"/>
        <s v="Raj Bawa"/>
        <s v="Nathan Ellis"/>
        <s v="Prabhsimran Singh"/>
        <s v="Rishi Dhawan"/>
        <s v="Bhanuka Rajapaksa"/>
        <s v="Sandeep Sharma"/>
        <s v="Benny Howell"/>
        <s v="Ishan Porel"/>
        <s v="Prerak Mankad"/>
        <s v="Atharva Taide"/>
        <s v="Ansh Patel"/>
        <s v="Jitesh Sharma"/>
        <s v="Writtick Chatterjee"/>
        <s v="Baltej Singh"/>
        <s v="Kane Williamson"/>
        <s v="Nicholas Pooran"/>
        <s v="Washington Sundar"/>
        <s v="Rahul Tripathi"/>
        <s v="Romario Shepherd"/>
        <s v="Abhishek Sharma"/>
        <s v="Bhuvneshwar Kumar"/>
        <s v="Marco Jansen"/>
        <s v="Umran Malik"/>
        <s v="Abdul Samad"/>
        <s v="T Natarajan"/>
        <s v="Kartik Tyagi"/>
        <s v="Aiden Markram"/>
        <s v="Sean Abbott"/>
        <s v="Glenn Phillips"/>
        <s v="Shreyas Gopal"/>
        <s v="Fazalhaq Farooqi"/>
        <s v="Vishnu Vinod"/>
        <s v="Priyam Garg"/>
        <s v="Saurabh Dubey"/>
        <s v="Jagadeesha Suchith"/>
        <s v="Shashank Singh"/>
        <s v="Ravikumar Samarth"/>
        <s v="Sanju Samson"/>
        <s v="Prasidh Krishna"/>
        <s v="Jos Buttler"/>
        <s v="Shimron Hetmyer"/>
        <s v="Trent Boult"/>
        <s v="Devdutt Padikkal"/>
        <s v="Yuzvendra Chahal"/>
        <s v="Ravichandran Ashwin"/>
        <s v="Yashasvi Jaiswal"/>
        <s v="Riyan Parag"/>
        <s v="Navdeep Saini"/>
        <s v="Nathan Coulter-Nile"/>
        <s v="James Neesham"/>
        <s v="Karun Nair"/>
        <s v="Rassie van der Dussen"/>
        <s v="Obed McCoy"/>
        <s v="Daryl Mitchell"/>
        <s v="KC Cariappa"/>
        <s v="Tejas Baroka"/>
        <s v="Kuldip Yadav"/>
        <s v="Dhruv Jurel"/>
        <s v="Kuldeep Sen"/>
        <s v="Shubham Garhwal"/>
        <s v="Anunay Singh"/>
        <s v="Virat Kohli"/>
        <s v="Glenn Maxwell"/>
        <s v="Harshal Patel"/>
        <s v="Wanindu Hasaranga"/>
        <s v="Josh Hazlewood"/>
        <s v="Faf du Plessis"/>
        <s v="Mohammed Siraj"/>
        <s v="Dinesh Karthik"/>
        <s v="Anuj Rawat"/>
        <s v="Shahbaz Ahmed"/>
        <s v="David Willey"/>
        <s v="Sherfane Rutherford"/>
        <s v="Mahipal Lomror"/>
        <s v="Finn Allen"/>
        <s v="Jason Behrendorff"/>
        <s v="Siddarth Kaul"/>
        <s v="Karn Sharma"/>
        <s v="Suyash Prabhudessai"/>
        <s v="Chama Milind"/>
        <s v="Aneeshwar Gautam"/>
        <s v="Akash Deep"/>
        <s v="Luvnith Sisodia"/>
        <s v="Rohit Sharma"/>
        <s v="Ishan Kishan"/>
        <s v="Jasprit Bumrah"/>
        <s v="Tim David"/>
        <s v="Jofra Archer"/>
        <s v="Suryakumar Yadav"/>
        <s v="Kieron Pollard"/>
        <s v="Dewald Brevis"/>
        <s v="Daniel Sams"/>
        <s v="Tilak Varma"/>
        <s v="Murugan Ashwin"/>
        <s v="Tymal Mills"/>
        <s v="Jaydev Unadkat"/>
        <s v="Riley Meredith"/>
        <s v="Fabian Allen"/>
        <s v="Mayank Markande"/>
        <s v="Sanjay Yadav"/>
        <s v="Basil Thampi"/>
        <s v="Arjun Tendulkar"/>
        <s v="Ramandeep Singh"/>
        <s v="Anmolpreet Singh"/>
        <s v="Aryan Juyal"/>
        <s v="Arshad Khan"/>
        <s v="Rahul Buddhi"/>
        <s v="Hrithik Shokeen"/>
        <s v="Ravindra Jadeja"/>
        <s v="Deepak Chahar"/>
        <s v="MS Dhoni"/>
        <s v="Moeen Ali"/>
        <s v="Ambati Rayudu"/>
        <s v="Ruturaj Gaikwad"/>
        <s v="Dwayne Bravo"/>
        <s v="Shivam Dube"/>
        <s v="Chris Jordan"/>
        <s v="Robin Uthappa"/>
        <s v="Mitchell Santner"/>
        <s v="Adam Milne"/>
        <s v="Rajvardhan Hangargekar"/>
        <s v="Prashant Solanki"/>
        <s v="Devon Conway"/>
        <s v="Maheesh Theekshana"/>
        <s v="Dwaine Pretorius"/>
        <s v="Narayan Jagadeesan"/>
        <s v="KM Asif"/>
        <s v="Tushar Deshpande"/>
        <s v="Subhranshu Senapati"/>
        <s v="Bhagath Varma"/>
        <s v="Simarjeet Singh"/>
        <s v="Hari Nishaanth"/>
        <s v="Mukesh Choudhary"/>
        <s v="Shreyas Iyer"/>
        <s v="Andre Russell"/>
        <s v="Nitish Rana"/>
        <s v="Varun Chakravarthy"/>
        <s v="Venkatesh Iyer"/>
        <s v="Shivam Mavi"/>
        <s v="Pat Cummins"/>
        <s v="Sunil Narine"/>
        <s v="Umesh Yadav"/>
        <s v="Sam Billings"/>
        <s v="Tim Southee"/>
        <s v="Alex Hales"/>
        <s v="Mohammad Nabi"/>
        <s v="Ajinkya Rahane"/>
        <s v="Sheldon Jackson"/>
        <s v="Rinku Singh"/>
        <s v="Ashok Sharma"/>
        <s v="Chamika Karunaratne"/>
        <s v="Abhijeet Tomar"/>
        <s v="Anukul Roy"/>
        <s v="Pratham Singh"/>
        <s v="Rasikh Dar"/>
        <s v="Ramesh Kumar"/>
        <s v="Aman Khan"/>
        <s v="Baba Indrajith"/>
        <s v="Rishabh Pant"/>
        <s v="Shardul Thakur"/>
        <s v="Axar Patel"/>
        <s v="Prithvi Shaw"/>
        <s v="Mitchell Marsh"/>
        <s v="Anrich Nortje"/>
        <s v="David Warner"/>
        <s v="Khaleel Ahmed"/>
        <s v="Chetan Sakariya"/>
        <s v="Rovman Powell"/>
        <s v="Kuldeep Yadav"/>
        <s v="Srikar Bharat"/>
        <s v="Mustafizur Rahman"/>
        <s v="Kamlesh Nagarkoti"/>
        <s v="Mandeep Singh"/>
        <s v="Lalit Yadav"/>
        <s v="Yash Dhull"/>
        <s v="Lungi Ngidi"/>
        <s v="Tim Seifert"/>
        <s v="Pravin Dubey"/>
        <s v="Ashwin Hebbar"/>
        <s v="Ripal Patel"/>
        <s v="Vicky Ostwal"/>
        <s v="Sarfaraz Khan"/>
        <s v="KL Rahul"/>
        <s v="Avesh Khan"/>
        <s v="Marcus Stoinis"/>
        <s v="Jason Holder"/>
        <s v="Krunal Pandya"/>
        <s v="Mark Wood"/>
        <s v="Quinton de Kock"/>
        <s v="Deepak Hooda"/>
        <s v="Manish Pandey"/>
        <s v="Ravi Bishnoi"/>
        <s v="Evin Lewis"/>
        <s v="Dushmantha Chameera"/>
        <s v="Krishnappa Gowtham"/>
        <s v="Kyle Mayers"/>
        <s v="Shahbaz Nadeem"/>
        <s v="Ankit Rajpoot"/>
        <s v="Mohsin Khan"/>
        <s v="Ayush Badoni"/>
        <s v="Karan Sharma"/>
        <s v="Mayank Yadav"/>
        <s v="Manan Vohra"/>
        <s v="Rashid Khan"/>
        <s v="Hardik Pandya"/>
        <s v="Lockie Ferguson"/>
        <s v="Rahul Tewatia"/>
        <s v="Shubman Gill"/>
        <s v="Mohammed Shami"/>
        <s v="Yash Dayal"/>
        <s v="Ravisrinivasan Sai Kishore"/>
        <s v="David Miller"/>
        <s v="Abhinav Manohar"/>
        <s v="Alzarri Joseph"/>
        <s v="Matthew Wade"/>
        <s v="Jason Roy"/>
        <s v="Wriddhiman Saha"/>
        <s v="Jayant Yadav"/>
        <s v="Vijay Shankar"/>
        <s v="Dominic Drakes"/>
        <s v="Varun Aaron"/>
        <s v="Gurkeerat Singh Mann"/>
        <s v="Noor Ahmad"/>
        <s v="Darshan Nalkande"/>
        <s v="Sai Sudharsan"/>
        <s v="Pradeep Sangwan"/>
      </sharedItems>
    </cacheField>
    <cacheField name="Team" numFmtId="0">
      <sharedItems count="10">
        <s v="PBKS"/>
        <s v="SRH"/>
        <s v="RR"/>
        <s v="RCB"/>
        <s v="MI"/>
        <s v="CSK"/>
        <s v="KKR"/>
        <s v="DC"/>
        <s v="LSG"/>
        <s v="GT"/>
      </sharedItems>
    </cacheField>
    <cacheField name="Url" numFmtId="0">
      <sharedItems/>
    </cacheField>
    <cacheField name="Type" numFmtId="0">
      <sharedItems count="4">
        <s v="Batsman "/>
        <s v="All-Rounder "/>
        <s v="Bowler "/>
        <s v="Wicket-Keeper "/>
      </sharedItems>
    </cacheField>
    <cacheField name="ValueinCR" numFmtId="0">
      <sharedItems containsSemiMixedTypes="0" containsString="0" containsNumber="1" minValue="0.2" maxValue="17"/>
    </cacheField>
    <cacheField name="Full Name" numFmtId="0">
      <sharedItems containsBlank="1" count="232">
        <s v="Mayank Anurag Agarwal"/>
        <s v="Liam Stephen Livingstone"/>
        <s v="Kagiso Rabada"/>
        <s v="Masood Shahrukh Khan"/>
        <s v="Shikhar Dhawan"/>
        <s v="Jonathan Marc Bairstow"/>
        <s v="Odean Fabian Smith"/>
        <s v="Rahul Desraj Chahar"/>
        <s v="Arshdeep Singh"/>
        <s v="Harpreet Brar"/>
        <s v="Vaibhav Gopal Arora"/>
        <s v="Raj Angad Bawa"/>
        <s v="Nathan Ellis"/>
        <s v="Prabhsimran Singh"/>
        <s v="Rishi Dhawan"/>
        <s v="Pramod Bhanuka Bandara Rajapaksa"/>
        <s v="Sandeep Sharma"/>
        <s v="Benny Alexander Cameron Howell"/>
        <s v="Ishan Chandranath Porel"/>
        <s v="Prerak Nileshkumar Mankad"/>
        <s v="Atharva Taide"/>
        <s v="Ansh Pradipkumar Patel"/>
        <s v="Jitesh Mohan Sharma"/>
        <s v="Writtick Bijoy Chatterjee"/>
        <s v="Baltej Singh Dhanda"/>
        <s v="Kane Stuart Williamson"/>
        <s v="Nicholas Pooran"/>
        <s v="Washington Sundar"/>
        <s v="Rahul Ajay Tripathi"/>
        <s v="Romario Shepherd"/>
        <s v="Abhishek Sharma"/>
        <s v="Bhuvneshwar Kumar Singh"/>
        <s v="Marco Jansen"/>
        <s v="Umran Malik"/>
        <s v="Abdul Samad Farooq"/>
        <s v="Thangarasu Natarajan"/>
        <s v="Kartik Tyagi"/>
        <s v="Aiden Kyle Markram"/>
        <s v="Sean Anthony Abbott"/>
        <s v="Glenn Dominic Phillips"/>
        <s v="Shreyas Gopal"/>
        <s v="Fazalhaq Farooqi"/>
        <s v="Vishnu Vinod"/>
        <s v="Priyam K Garg"/>
        <s v="Saurabh Dubey"/>
        <s v="Jagadeesha Suchith"/>
        <s v="Shashank Singh"/>
        <s v="Ravikumar Samarth"/>
        <s v="Sanju Viswanath Samson"/>
        <s v="Muralikrishna Prasidh Krishna"/>
        <s v="Joseph Charles Buttler"/>
        <s v="Shimron Odilon Hetmyer"/>
        <s v="Trent Alexander Boult"/>
        <s v="Devdutt Babunu Padikkal"/>
        <s v="Yuzvendra Singh Chahal"/>
        <s v="Ravichandran Ashwin"/>
        <s v="Yashasvi Bhupendra Kumar Jaiswal"/>
        <s v="Riyan Parag"/>
        <s v="Navdeep Amarjeet Saini"/>
        <s v="Nathan Mitchell Coulter-Nile"/>
        <s v="James Douglas Sheahan Neesham"/>
        <s v="Karun Kaladharan Nair"/>
        <m/>
        <s v="Obed Christopher McCoy"/>
        <s v="Daryl Joseph Mitchell"/>
        <s v="Konganda Charamanna Cariappa"/>
        <s v="Tejas Singh Baroka"/>
        <s v="Kuldip Yadav"/>
        <s v="Dhruv Chand Jurel"/>
        <s v="Kuldeep Rampal Sen"/>
        <s v="Shubham Shankar Garhwal"/>
        <s v="Anunay Narayan Singh"/>
        <s v="Virat Kohli"/>
        <s v="Glenn James Maxwell"/>
        <s v="Harshal Vikram Patel"/>
        <s v="Pinnaduwage Wanindu Hasaranga De Silva"/>
        <s v="Josh Reginald Hazlewood"/>
        <s v="Francois du Plessis"/>
        <s v="Mohammed Siraj"/>
        <s v="Krishnakumar Dinesh Karthik"/>
        <s v="Anuj Rawat"/>
        <s v="Shahbaz Ahmed"/>
        <s v="David Jonathan Willey"/>
        <s v="Sherfane Eviston Rutherford"/>
        <s v="Mahipal Krishan Lomror"/>
        <s v="Finnley Hugh Allen"/>
        <s v="Jason Paul Behrendorff"/>
        <s v="Siddarth Kaul"/>
        <s v="Karn Vinod Sharma"/>
        <s v="Suyash S Prabhudessai"/>
        <s v="Aneeshwar Gautam Narendra"/>
        <s v="Akash Deep"/>
        <s v="Luvnith Sujith Sisodia"/>
        <s v="Rohit Gurunath Sharma"/>
        <s v="Ishan Pranav Kumar Pandey Kishan"/>
        <s v="Jasprit Jasbirsingh Bumrah"/>
        <s v="Timothy Hays David"/>
        <s v="Jofra Chioke Archer"/>
        <s v="Suryakumar Ashok Yadav"/>
        <s v="Kieron Adrian Pollard"/>
        <s v="Dewald Brevis"/>
        <s v="Daniel Richard Sams"/>
        <s v="Namboori Thakur Tilak Varma"/>
        <s v="Murugan Ashwin"/>
        <s v="Tymal Solomon Mills"/>
        <s v="Jaydev Dipakbhai Unadkat"/>
        <s v="Riley Patrick Meredith"/>
        <s v="Fabian Anthony Allen"/>
        <s v="Mayank Markande"/>
        <s v="Ramsingh Sanjay Yadav"/>
        <s v="Basil Thampi"/>
        <s v="Arjun Sachin Tendulkar"/>
        <s v="Ramandeep Singh"/>
        <s v="Anmolpreet Singh"/>
        <s v="Aryan Juyal"/>
        <s v="Mohd Arshad Khan"/>
        <s v="Rahul Ravinder Buddhi"/>
        <s v="Hrithik Rakesh Shokeen"/>
        <s v="Ravindrasinh Anirudhsinh Jadeja"/>
        <s v="Deepak Lokandersingh Chahar"/>
        <s v="Mahendra Singh Dhoni"/>
        <s v="Moeen Munir Ali"/>
        <s v="Ambati Thirupathi Rayudu"/>
        <s v="Ruturaj Dashrat Gaikwad"/>
        <s v="Dwayne John Bravo"/>
        <s v="Shivam Dube"/>
        <s v="Christopher James Jordan"/>
        <s v="Robin Venu Uthappa"/>
        <s v="Mitchell Josef Santner"/>
        <s v="Adam Fraser Milne"/>
        <s v="Rajvardhan S Hangargekar"/>
        <s v="Prashant Hitesh Solanki"/>
        <s v="Devon Philip Conway"/>
        <s v="Morawakage Maheesh Theekshana"/>
        <s v="Narayan Jagadeesan"/>
        <s v="KM Asif"/>
        <s v="Tushar Uday Deshpande"/>
        <s v="Subhranshu Pradeep Senapati"/>
        <s v="Kanumuri Bhagath Varma"/>
        <s v="Simarjeet Singh"/>
        <s v="Chezhian Nishaanth"/>
        <s v="Mukesh Choudhary"/>
        <s v="Shreyas Santosh Iyer"/>
        <s v="Andre Dwayne Russell"/>
        <s v="Nitish Rana"/>
        <s v="Varun Chakravarthy Vinod"/>
        <s v="Venkatesh Rajasekaran Iyer"/>
        <s v="Shivam Pankaj Mavi"/>
        <s v="Patrick James Cummins"/>
        <s v="Sunil Philip Narine"/>
        <s v="Umeshkumar Tilak Yadav"/>
        <s v="Samuel William Billings"/>
        <s v="Timothy Grant Southee"/>
        <s v="Alexander Daniel Hales"/>
        <s v="Mohammad Nabi"/>
        <s v="Ajinkya Madhukar Rahane"/>
        <s v="Rinku Khanchand Singh"/>
        <s v="Ashok Sharma"/>
        <s v="Chamika Karunaratne"/>
        <s v="Abhijeet Tomar"/>
        <s v="Anukul Sudhakar Roy"/>
        <s v="Pratham Singh"/>
        <s v="Rasikh Salam Dar"/>
        <s v="Ramesh Kumar"/>
        <s v="Aman Hakim Khan"/>
        <s v="Baba Indrajith"/>
        <s v="Rishabh Rajendra Pant"/>
        <s v="Shardul Narendra Thakur"/>
        <s v="Axar Rajeshbhai Patel"/>
        <s v="Prithvi Pankaj Shaw"/>
        <s v="Mitchell Ross Marsh"/>
        <s v="Anrich Arno Nortje"/>
        <s v="David Andrew Warner"/>
        <s v="Khaleel Khursheed Ahmed"/>
        <s v="Chetan Sakariya"/>
        <s v="Rovman Powell"/>
        <s v="Kuldeep Yadav"/>
        <s v="Kona Srikar Bharat"/>
        <s v="Mustafizur Rahman"/>
        <s v="Kamlesh Lachham Nagarkoti"/>
        <s v="Mandeep Singh"/>
        <s v="Lalit Yadav"/>
        <s v="Yash Vijay Dhull"/>
        <s v="Lungisani True-man Ngidi"/>
        <s v="Tim Louis Seifert"/>
        <s v="Pravin Dubey"/>
        <s v="Kattingeri Ashwin Hebbar"/>
        <s v="Ripal Vinubhai Patel"/>
        <s v="Vicky Kanhaiya Ostwal"/>
        <s v="Sarfaraz Naushad Khan"/>
        <s v="Kannaur Lokesh Rahul"/>
        <s v="Avesh Khan"/>
        <s v="Marcus Peter Stoinis"/>
        <s v="Jason Omar Holder"/>
        <s v="Krunal Himashu Pandya"/>
        <s v="Mark Andrew Wood"/>
        <s v="Quinton de Kock"/>
        <s v="Deepak Jagbir Hooda"/>
        <s v="Manish Krishnanand Pandey"/>
        <s v="Ravi Bishnoi"/>
        <s v="Pathira Vasan Dushmantha Chameera"/>
        <s v="Krishnappa Gowtham"/>
        <s v="Kyle Rico Mayers"/>
        <s v="Shahbaz Nadeem"/>
        <s v="Ankit Singh Rajpoot"/>
        <s v="Mohsin Khan"/>
        <s v="Ayush Badoni"/>
        <s v="Karan Sharma"/>
        <s v="Mayank Prabhu Yadav"/>
        <s v="Manan Vohra"/>
        <s v="Rashid Khan Arman"/>
        <s v="Hardik Himanshu Pandya"/>
        <s v="Lachlan Hammond Ferguson"/>
        <s v="Shubman Gill"/>
        <s v="Mohammed Shami Ahmed"/>
        <s v="Yash Dayal"/>
        <s v="Ravisrinivasan Sai Kishore"/>
        <s v="David Andrew Miller"/>
        <s v="Abhinav Manohar Sadarangani"/>
        <s v="Alzarri Shaheim Joseph"/>
        <s v="Matthew Scott Wade"/>
        <s v="Jason Jonathan Roy"/>
        <s v="Wriddhiman Prasanta Saha"/>
        <s v="Jayant Yadav"/>
        <s v="Vijay Shankar"/>
        <s v="Dominic Conneil Drakes"/>
        <s v="Varun Raymond Aaron"/>
        <s v="Gurkeerat Rupinder Singh"/>
        <s v="Noor Ahmad Lakanwal"/>
        <s v="Darshan Girish Nalkande"/>
        <s v="Bhardwaj Sai Sudharsan"/>
        <s v="Pradeep Jaibeer Sangwan"/>
      </sharedItems>
    </cacheField>
    <cacheField name="Born" numFmtId="0">
      <sharedItems containsDate="1" containsBlank="1" containsMixedTypes="1" minDate="1988-10-05T00:00:00" maxDate="2005-01-04T00:00:00"/>
    </cacheField>
    <cacheField name="Age" numFmtId="0">
      <sharedItems containsBlank="1"/>
    </cacheField>
    <cacheField name="National Side" numFmtId="0">
      <sharedItems containsBlank="1" count="11">
        <s v="India"/>
        <s v="England"/>
        <s v="South Africa"/>
        <s v="West Indies"/>
        <s v="Australia"/>
        <s v="Sri Lanka"/>
        <s v="New Zealand"/>
        <s v="Afghanistan"/>
        <m/>
        <s v="Singapore"/>
        <s v="Bangladesh"/>
      </sharedItems>
    </cacheField>
    <cacheField name="Batting Style" numFmtId="0">
      <sharedItems containsBlank="1" count="3">
        <s v="Right Handed"/>
        <s v="Left Handed"/>
        <m/>
      </sharedItems>
    </cacheField>
    <cacheField name="Bowling" numFmtId="0">
      <sharedItems containsBlank="1"/>
    </cacheField>
    <cacheField name="Sport" numFmtId="0">
      <sharedItems containsBlank="1"/>
    </cacheField>
    <cacheField name="MatchPlayed" numFmtId="0">
      <sharedItems containsString="0" containsBlank="1" containsNumber="1" containsInteger="1" minValue="1" maxValue="220"/>
    </cacheField>
    <cacheField name="InningsBatted" numFmtId="0">
      <sharedItems containsString="0" containsBlank="1" containsNumber="1" containsInteger="1" minValue="0" maxValue="208"/>
    </cacheField>
    <cacheField name="NotOuts" numFmtId="0">
      <sharedItems containsString="0" containsBlank="1" containsNumber="1" containsInteger="1" minValue="0" maxValue="73"/>
    </cacheField>
    <cacheField name="RunsScored" numFmtId="0">
      <sharedItems containsString="0" containsBlank="1" containsNumber="1" containsInteger="1" minValue="0" maxValue="6283" count="127">
        <n v="2131"/>
        <n v="112"/>
        <n v="138"/>
        <n v="153"/>
        <n v="5784"/>
        <n v="1038"/>
        <m/>
        <n v="31"/>
        <n v="2"/>
        <n v="84"/>
        <n v="18"/>
        <n v="50"/>
        <n v="52"/>
        <n v="1885"/>
        <n v="606"/>
        <n v="217"/>
        <n v="1385"/>
        <n v="241"/>
        <n v="0"/>
        <n v="222"/>
        <n v="3"/>
        <n v="6"/>
        <n v="146"/>
        <n v="15"/>
        <n v="26"/>
        <n v="171"/>
        <n v="19"/>
        <n v="205"/>
        <n v="68"/>
        <n v="3068"/>
        <n v="1968"/>
        <n v="517"/>
        <n v="13"/>
        <n v="884"/>
        <n v="32"/>
        <n v="456"/>
        <n v="289"/>
        <n v="339"/>
        <n v="81"/>
        <n v="61"/>
        <n v="1480"/>
        <n v="24"/>
        <n v="6283"/>
        <n v="2018"/>
        <n v="187"/>
        <n v="1"/>
        <n v="2935"/>
        <n v="66"/>
        <n v="4046"/>
        <n v="60"/>
        <n v="73"/>
        <n v="181"/>
        <n v="20"/>
        <n v="317"/>
        <n v="5611"/>
        <n v="1452"/>
        <n v="56"/>
        <n v="195"/>
        <n v="2341"/>
        <n v="3268"/>
        <n v="23"/>
        <n v="8"/>
        <n v="105"/>
        <n v="27"/>
        <n v="16"/>
        <n v="2386"/>
        <n v="79"/>
        <n v="4746"/>
        <n v="666"/>
        <n v="3916"/>
        <n v="839"/>
        <n v="1537"/>
        <n v="399"/>
        <n v="64"/>
        <n v="4722"/>
        <n v="33"/>
        <n v="21"/>
        <n v="2375"/>
        <n v="1700"/>
        <n v="1820"/>
        <n v="12"/>
        <n v="370"/>
        <n v="48"/>
        <n v="316"/>
        <n v="954"/>
        <n v="122"/>
        <n v="334"/>
        <n v="118"/>
        <n v="148"/>
        <n v="180"/>
        <n v="3941"/>
        <n v="77"/>
        <n v="5"/>
        <n v="2498"/>
        <n v="53"/>
        <n v="953"/>
        <n v="1305"/>
        <n v="225"/>
        <n v="7"/>
        <n v="5449"/>
        <n v="57"/>
        <n v="191"/>
        <n v="9"/>
        <n v="22"/>
        <n v="1674"/>
        <n v="25"/>
        <n v="441"/>
        <n v="3273"/>
        <n v="914"/>
        <n v="189"/>
        <n v="1143"/>
        <n v="2256"/>
        <n v="785"/>
        <n v="3560"/>
        <n v="186"/>
        <n v="39"/>
        <n v="1054"/>
        <n v="1476"/>
        <n v="62"/>
        <n v="1417"/>
        <n v="69"/>
        <n v="1974"/>
        <n v="329"/>
        <n v="2110"/>
        <n v="40"/>
        <n v="712"/>
        <n v="511"/>
      </sharedItems>
    </cacheField>
    <cacheField name="HighestInnScore" numFmtId="0">
      <sharedItems containsBlank="1" count="147">
        <s v="106 v RR"/>
        <s v="44 v SRH"/>
        <s v="44 v MI"/>
        <s v="47 v CSK"/>
        <s v="106* v PBKS"/>
        <s v="114 v RCB"/>
        <m/>
        <s v="10 v SRH"/>
        <s v="1* v KKR"/>
        <s v="25* v RCB"/>
        <s v="12 v SRH"/>
        <s v="16 v SRH"/>
        <s v="25* v CSK"/>
        <s v="9 v RCB"/>
        <s v="89 v DC"/>
        <s v="77 v SRH"/>
        <s v="35 v RR"/>
        <s v="93 v KKR"/>
        <s v="46* v RCB"/>
        <s v="24* v CSK"/>
        <s v="0 v KKR"/>
        <s v="33 v DC"/>
        <s v="3* v RCB"/>
        <s v="2* v DC"/>
        <s v="42 v MI"/>
        <s v="14 v SRH"/>
        <s v="14* v CSK"/>
        <s v="24 v PBKS"/>
        <s v="9 v DC"/>
        <s v="51* v CSK"/>
        <s v="34* v PBKS"/>
        <s v="119 v PBKS"/>
        <s v="2* v RCB"/>
        <s v="124 v SRH"/>
        <s v="75 v SRH"/>
        <s v="6 v CSK"/>
        <s v="101* v RR"/>
        <s v="8* v CSK"/>
        <s v="45 v KKR"/>
        <s v="50 v CSK"/>
        <s v="50 v DC"/>
        <s v="12* v DC"/>
        <s v="24* v PBKS"/>
        <s v="22 v CSK"/>
        <s v="83* v SRH"/>
        <s v="12* v RCB"/>
        <s v="0* v MI"/>
        <s v="113 v PBKS"/>
        <s v="95 v CSK"/>
        <s v="36* v CSK"/>
        <s v="1* v CSK"/>
        <s v="96 v PBKS"/>
        <s v="14 v RR"/>
        <s v="97* v RR"/>
        <s v="28* v RCB"/>
        <s v="47 v RCB"/>
        <s v="7* v KKR"/>
        <s v="39* v CSK"/>
        <s v="109* v KKR"/>
        <s v="99 v RCB"/>
        <s v="16* v RPS"/>
        <s v="1 v CSK"/>
        <s v="27* v CSK"/>
        <s v="82 v SRH"/>
        <s v="87* v CSK"/>
        <s v="3* v DC"/>
        <s v="9 v SRH"/>
        <s v="6 v SRH"/>
        <s v="26 v KKR"/>
        <s v="0 v RR"/>
        <s v="7* v PBKS"/>
        <s v="13* v SRH"/>
        <s v="16 v CSK"/>
        <s v="62* v RCB"/>
        <s v="39 v PBKS"/>
        <s v="84* v RCB"/>
        <s v="66 v KKR"/>
        <s v="100* v SRH"/>
        <s v="70* v PBKS"/>
        <s v="64* v CSK"/>
        <s v="30 v KKR"/>
        <s v="87 v RPS"/>
        <s v="22 v MI"/>
        <s v="15 v CSK"/>
        <s v="33 v RCB"/>
        <s v="20* v SRH"/>
        <s v="96 v GL"/>
        <s v="88* v CSK"/>
        <s v="87 v CSK"/>
        <s v="7* v RCB"/>
        <s v="67 v PBKS"/>
        <s v="20 v CSK"/>
        <s v="66* v CSK"/>
        <s v="75 v PBKS"/>
        <s v="24* v RR"/>
        <s v="56 v KKR"/>
        <s v="45 v DC"/>
        <s v="31 v MI"/>
        <s v="105* v DC"/>
        <s v="30 v SRH"/>
        <s v="5* v DC"/>
        <s v="128* v SRH"/>
        <s v="15* v SRH"/>
        <s v="44 v DC"/>
        <s v="99 v KKR"/>
        <s v="38 v MI"/>
        <s v="3* v PBKS"/>
        <s v="126 v KKR"/>
        <s v="1 v MI"/>
        <s v="7 v PBKS"/>
        <s v="16 v MI"/>
        <s v="78* v DC"/>
        <s v="8* v MI"/>
        <s v="8* v RR"/>
        <s v="77* v PWI"/>
        <s v="22* v MI"/>
        <s v="2 v PBKS"/>
        <s v="7* v MI"/>
        <s v="18 v CSK"/>
        <s v="67 v CSK"/>
        <s v="132* v RCB"/>
        <s v="5 v KKR"/>
        <s v="65 v MI"/>
        <s v="47* v PBKS"/>
        <s v="86 v DC"/>
        <s v="108 v RCB"/>
        <s v="64 v RR"/>
        <s v="114* v DCH"/>
        <s v="6* v SRH"/>
        <s v="33* v MI"/>
        <s v="6 v PWI"/>
        <s v="8 v SRH"/>
        <s v="95 v SRH"/>
        <s v="34* v KKR"/>
        <s v="91 v KKR"/>
        <s v="76 v MI"/>
        <s v="21 v RCB"/>
        <s v="101* v RCB"/>
        <s v="15* v PBKS"/>
        <s v="11 v PWI"/>
        <s v="91* v MI"/>
        <s v="115* v KKR"/>
        <s v="23 v DC"/>
        <s v="63* v GL"/>
        <s v="17* v PBKS"/>
        <s v="65 v SRH"/>
        <s v="6* v MI"/>
      </sharedItems>
    </cacheField>
    <cacheField name="100s" numFmtId="0">
      <sharedItems containsString="0" containsBlank="1" containsNumber="1" containsInteger="1" minValue="0" maxValue="5"/>
    </cacheField>
    <cacheField name="50s" numFmtId="0">
      <sharedItems containsString="0" containsBlank="1" containsNumber="1" containsInteger="1" minValue="0" maxValue="50"/>
    </cacheField>
    <cacheField name="4s" numFmtId="0">
      <sharedItems containsString="0" containsBlank="1" containsNumber="1" containsInteger="1" minValue="0" maxValue="654"/>
    </cacheField>
    <cacheField name="6s" numFmtId="0">
      <sharedItems containsString="0" containsBlank="1" containsNumber="1" containsInteger="1" minValue="0" maxValue="227"/>
    </cacheField>
    <cacheField name="BattingAVG" numFmtId="0">
      <sharedItems containsString="0" containsBlank="1" containsNumber="1" minValue="0" maxValue="47.43"/>
    </cacheField>
    <cacheField name="BattingS/R" numFmtId="0">
      <sharedItems containsString="0" containsBlank="1" containsNumber="1" minValue="0" maxValue="178.57"/>
    </cacheField>
    <cacheField name="CatchesTaken" numFmtId="0">
      <sharedItems containsString="0" containsBlank="1" containsNumber="1" containsInteger="1" minValue="0" maxValue="126"/>
    </cacheField>
    <cacheField name="StumpingsMade" numFmtId="0">
      <sharedItems containsString="0" containsBlank="1" containsNumber="1" containsInteger="1" minValue="0" maxValue="39"/>
    </cacheField>
    <cacheField name="Ducks" numFmtId="0">
      <sharedItems containsString="0" containsBlank="1" containsNumber="1" containsInteger="1" minValue="0" maxValue="15"/>
    </cacheField>
    <cacheField name="R/O" numFmtId="0">
      <sharedItems containsString="0" containsBlank="1" containsNumber="1" containsInteger="1" minValue="0" maxValue="16"/>
    </cacheField>
    <cacheField name="InningsBowled" numFmtId="0">
      <sharedItems containsString="0" containsBlank="1" containsNumber="1" containsInteger="1" minValue="1" maxValue="171"/>
    </cacheField>
    <cacheField name="Overs" numFmtId="0">
      <sharedItems containsString="0" containsBlank="1" containsNumber="1" minValue="0.1" maxValue="583"/>
    </cacheField>
    <cacheField name="Maidens" numFmtId="0">
      <sharedItems containsString="0" containsBlank="1" containsNumber="1" containsInteger="1" minValue="0" maxValue="9"/>
    </cacheField>
    <cacheField name="RunsConceded" numFmtId="0">
      <sharedItems containsString="0" containsBlank="1" containsNumber="1" containsInteger="1" minValue="2" maxValue="4061"/>
    </cacheField>
    <cacheField name="Wickets" numFmtId="0">
      <sharedItems containsString="0" containsBlank="1" containsNumber="1" containsInteger="1" minValue="0" maxValue="167"/>
    </cacheField>
    <cacheField name="Best" numFmtId="0">
      <sharedItems containsBlank="1" count="118">
        <m/>
        <s v="0/13 v MI"/>
        <s v="4/21 v RCB"/>
        <s v="1/7 v DC"/>
        <s v="4/27 v KKR"/>
        <s v="5/32 v RR"/>
        <s v="3/19 v RCB"/>
        <s v="1/12 v MI"/>
        <s v="2/14 v RCB"/>
        <s v="4/20 v DC"/>
        <s v="1/39 v RR"/>
        <s v="0/7 v KKR"/>
        <s v="3/16 v MI"/>
        <s v="0/12 v KKR"/>
        <s v="2/4 v MI"/>
        <s v="5/19 v PBKS"/>
        <s v="2/28 v RCB"/>
        <s v="1/21 v RCB"/>
        <s v="1/9 v PBKS"/>
        <s v="2/24 v PBKS"/>
        <s v="2/29 v PBKS"/>
        <s v="0/5 v RCB"/>
        <s v="0/21 v SRH"/>
        <s v="1/17 v KKR"/>
        <s v="4/16 v RCB"/>
        <s v="2/14 v SRH"/>
        <s v="4/30 v SRH"/>
        <s v="4/18 v CSK"/>
        <s v="4/25 v PBKS"/>
        <s v="4/34 v PBKS"/>
        <s v="1/7 v PBKS"/>
        <s v="2/24 v DC"/>
        <s v="4/14 v RR"/>
        <s v="3/12 v RR"/>
        <s v="2/16 v RCB"/>
        <s v="0/33 v SRH"/>
        <s v="0/16 v MI"/>
        <s v="2/25 v DCH"/>
        <s v="2/15 v RCB"/>
        <s v="5/27 v MI"/>
        <s v="0/20 v KKR"/>
        <s v="3/24 v SRH"/>
        <s v="0/16 v DCH"/>
        <s v="4/32 v GL"/>
        <s v="3/7 v SRH"/>
        <s v="1/24 v RCB"/>
        <s v="1/6 v RCB"/>
        <s v="1/22 v SRH"/>
        <s v="2/22 v CSK"/>
        <s v="4/29 v RPS"/>
        <s v="4/16 v KKR"/>
        <s v="4/6 v MI"/>
        <s v="4/14 v DC"/>
        <s v="3/15 v PBKS"/>
        <s v="0/8 v DC"/>
        <s v="4/44 v RR"/>
        <s v="1/24 v PBKS"/>
        <s v="3/21 v RCB"/>
        <s v="2/31 v KKR"/>
        <s v="5/25 v DC"/>
        <s v="1/29 v RCB"/>
        <s v="4/23 v SRH"/>
        <s v="3/29 v MI"/>
        <s v="5/16 v DCH"/>
        <s v="4/13 v PBKS"/>
        <s v="3/7 v RR"/>
        <s v="4/22 v PBKS"/>
        <s v="2/15 v SRH"/>
        <s v="4/11 v GL"/>
        <s v="2/13 v MI"/>
        <s v="2/21 v CSK"/>
        <s v="2/43 v DC"/>
        <s v="2/37 v RR"/>
        <s v="5/15 v MI"/>
        <s v="2/11 v RCB"/>
        <s v="5/20 v DC"/>
        <s v="2/29 v DC"/>
        <s v="4/21 v RR"/>
        <s v="4/34 v RR"/>
        <s v="4/24 v RR"/>
        <s v="4/11 v RCB"/>
        <s v="1/5 v PBKS"/>
        <s v="1/11 v CSK"/>
        <s v="0/42 v DC"/>
        <s v="3/19 v PBKS"/>
        <s v="4/21 v GL"/>
        <s v="4/25 v DCH"/>
        <s v="3/33 v KKR"/>
        <s v="0/2 v DC"/>
        <s v="3/21 v PBKS"/>
        <s v="3/31 v PBKS"/>
        <s v="4/20 v RR"/>
        <s v="2/13 v RR"/>
        <s v="0/8 v RR"/>
        <s v="2/13 v KKR"/>
        <s v="4/10 v PBKS"/>
        <s v="0/14 v SRH"/>
        <s v="0/22 v RCB"/>
        <s v="0/6 v RCB"/>
        <s v="3/13 v KKR"/>
        <s v="4/15 v MI"/>
        <s v="4/52 v MI"/>
        <s v="3/14 v GL"/>
        <s v="0/49 v MI"/>
        <s v="2/16 v KKR"/>
        <s v="2/12 v PBKS"/>
        <s v="3/16 v DCH"/>
        <s v="5/14 v SRH"/>
        <s v="3/7 v DC"/>
        <s v="3/20 v CSK"/>
        <s v="3/15 v SRH"/>
        <s v="3/15 v DC"/>
        <s v="6/12 v SRH"/>
        <s v="1/8 v CSK"/>
        <s v="2/19 v MI"/>
        <s v="3/16 v KKR"/>
        <s v="2/15 v RPS"/>
        <s v="3/18 v DCH"/>
      </sharedItems>
    </cacheField>
    <cacheField name="3s" numFmtId="0">
      <sharedItems containsString="0" containsBlank="1" containsNumber="1" containsInteger="1" minValue="0" maxValue="14"/>
    </cacheField>
    <cacheField name="5s" numFmtId="0">
      <sharedItems containsString="0" containsBlank="1" containsNumber="1" containsInteger="1" minValue="0" maxValue="2"/>
    </cacheField>
    <cacheField name="BowlingAVG" numFmtId="0">
      <sharedItems containsString="0" containsBlank="1" containsNumber="1" minValue="5" maxValue="153"/>
    </cacheField>
    <cacheField name="EconomyRate" numFmtId="0">
      <sharedItems containsString="0" containsBlank="1" containsNumber="1" minValue="5" maxValue="18"/>
    </cacheField>
    <cacheField name="S/R" numFmtId="0">
      <sharedItems containsString="0" containsBlank="1" containsNumber="1" minValue="6" maxValue="108"/>
    </cacheField>
    <cacheField name="Mtc" numFmtId="0">
      <sharedItems containsString="0" containsBlank="1" containsNumber="1" containsInteger="1" minValue="1" maxValue="171"/>
    </cacheField>
  </cacheFields>
  <extLst>
    <ext xmlns:x14="http://schemas.microsoft.com/office/spreadsheetml/2009/9/main" uri="{725AE2AE-9491-48be-B2B4-4EB974FC3084}">
      <x14:pivotCacheDefinition pivotCacheId="1244887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
  <r>
    <x v="0"/>
    <x v="0"/>
    <s v="https://sports.ndtv.com/cricket/players/1430-mayank-agarwal-playerprofile"/>
    <x v="0"/>
    <n v="12"/>
    <x v="0"/>
    <s v="February 16, 1991 Bangalore, Karnataka"/>
    <s v="31 Years, 0 Months, 28 Days"/>
    <x v="0"/>
    <x v="0"/>
    <s v="Off break"/>
    <m/>
    <n v="100"/>
    <n v="95"/>
    <n v="4"/>
    <x v="0"/>
    <x v="0"/>
    <n v="1"/>
    <n v="11"/>
    <n v="203"/>
    <n v="85"/>
    <n v="23.41"/>
    <n v="135.47"/>
    <n v="40"/>
    <n v="0"/>
    <n v="6"/>
    <n v="4"/>
    <m/>
    <m/>
    <m/>
    <m/>
    <m/>
    <x v="0"/>
    <m/>
    <m/>
    <m/>
    <m/>
    <m/>
    <m/>
  </r>
  <r>
    <x v="1"/>
    <x v="0"/>
    <s v="https://sports.ndtv.com/cricket/players/64363-liam-stephen-livingstone-playerprofile"/>
    <x v="1"/>
    <n v="11.5"/>
    <x v="1"/>
    <s v="August 4, 1993 Barrow-in-Furness, Cumberland"/>
    <s v="28 Years, 7 Months, 11 Days"/>
    <x v="1"/>
    <x v="0"/>
    <s v="Leg break"/>
    <s v="IPL"/>
    <n v="9"/>
    <n v="9"/>
    <n v="1"/>
    <x v="1"/>
    <x v="1"/>
    <n v="0"/>
    <n v="0"/>
    <n v="9"/>
    <n v="6"/>
    <n v="14"/>
    <n v="125.84"/>
    <n v="7"/>
    <n v="0"/>
    <n v="0"/>
    <n v="0"/>
    <n v="1"/>
    <n v="1"/>
    <n v="0"/>
    <n v="13"/>
    <n v="0"/>
    <x v="1"/>
    <n v="0"/>
    <n v="0"/>
    <m/>
    <n v="13"/>
    <m/>
    <n v="1"/>
  </r>
  <r>
    <x v="2"/>
    <x v="0"/>
    <s v="https://sports.ndtv.com/cricket/players/64042-kagiso-rabada-playerprofile"/>
    <x v="2"/>
    <n v="9.25"/>
    <x v="2"/>
    <s v="May 25, 1995 Johannesburg"/>
    <s v="26 Years, 9 Months, 22 Days"/>
    <x v="2"/>
    <x v="1"/>
    <s v="Right-arm fast"/>
    <s v="IPL"/>
    <n v="50"/>
    <n v="18"/>
    <n v="8"/>
    <x v="2"/>
    <x v="2"/>
    <n v="0"/>
    <n v="0"/>
    <n v="11"/>
    <n v="4"/>
    <n v="13.8"/>
    <n v="102.98"/>
    <n v="23"/>
    <n v="0"/>
    <n v="5"/>
    <n v="2"/>
    <n v="50"/>
    <n v="190"/>
    <n v="2"/>
    <n v="1560"/>
    <n v="76"/>
    <x v="2"/>
    <n v="4"/>
    <n v="0"/>
    <n v="20.52"/>
    <n v="8.2100000000000009"/>
    <n v="15"/>
    <n v="50"/>
  </r>
  <r>
    <x v="3"/>
    <x v="0"/>
    <s v="https://sports.ndtv.com/cricket/players/113433-shahrukh-khan-playerprofile"/>
    <x v="1"/>
    <n v="9"/>
    <x v="3"/>
    <s v="May 27, 1995 Chennai, Tamil Nadu"/>
    <s v="26 Years, 9 Months, 20 Days"/>
    <x v="0"/>
    <x v="0"/>
    <s v="Off break"/>
    <m/>
    <n v="11"/>
    <n v="10"/>
    <n v="3"/>
    <x v="3"/>
    <x v="3"/>
    <n v="0"/>
    <n v="0"/>
    <n v="9"/>
    <n v="10"/>
    <n v="21.85"/>
    <n v="134.21"/>
    <n v="4"/>
    <n v="0"/>
    <n v="1"/>
    <n v="1"/>
    <m/>
    <m/>
    <m/>
    <m/>
    <m/>
    <x v="0"/>
    <m/>
    <m/>
    <m/>
    <m/>
    <m/>
    <m/>
  </r>
  <r>
    <x v="4"/>
    <x v="0"/>
    <s v="https://sports.ndtv.com/cricket/players/737-shikhar-dhawan-playerprofile"/>
    <x v="0"/>
    <n v="8.25"/>
    <x v="4"/>
    <s v="December 5, 1985 Delhi"/>
    <s v="36 Years, 3 Months, 10 Days"/>
    <x v="0"/>
    <x v="1"/>
    <s v="Off break"/>
    <s v="IPL"/>
    <n v="192"/>
    <n v="191"/>
    <n v="25"/>
    <x v="4"/>
    <x v="4"/>
    <n v="2"/>
    <n v="44"/>
    <n v="654"/>
    <n v="124"/>
    <n v="34.840000000000003"/>
    <n v="126.64"/>
    <n v="82"/>
    <n v="0"/>
    <n v="11"/>
    <n v="16"/>
    <n v="6"/>
    <n v="8"/>
    <n v="0"/>
    <n v="66"/>
    <n v="4"/>
    <x v="3"/>
    <n v="0"/>
    <n v="0"/>
    <n v="16.5"/>
    <n v="8.25"/>
    <n v="12"/>
    <n v="6"/>
  </r>
  <r>
    <x v="5"/>
    <x v="0"/>
    <s v="https://sports.ndtv.com/cricket/players/1551-jonny-bairstow-playerprofile"/>
    <x v="3"/>
    <n v="6.75"/>
    <x v="5"/>
    <s v="September 26, 1989 Bradford, Yorkshire"/>
    <s v="32 Years, 5 Months, 19 Days"/>
    <x v="1"/>
    <x v="0"/>
    <s v="Right-arm medium"/>
    <m/>
    <n v="28"/>
    <n v="28"/>
    <n v="3"/>
    <x v="5"/>
    <x v="5"/>
    <n v="1"/>
    <n v="7"/>
    <n v="99"/>
    <n v="46"/>
    <n v="41.52"/>
    <n v="142.19"/>
    <n v="18"/>
    <n v="4"/>
    <n v="2"/>
    <n v="0"/>
    <m/>
    <m/>
    <m/>
    <m/>
    <m/>
    <x v="0"/>
    <m/>
    <m/>
    <m/>
    <m/>
    <m/>
    <m/>
  </r>
  <r>
    <x v="6"/>
    <x v="0"/>
    <s v="https://sports.ndtv.com/cricket/players/108548-odean-smith-playerprofile"/>
    <x v="1"/>
    <n v="6"/>
    <x v="6"/>
    <s v="November 1, 1996 St. Elizabeth, Jamaica"/>
    <s v="25 Years, 4 Months, 14 Days"/>
    <x v="3"/>
    <x v="0"/>
    <s v="Right-arm medium"/>
    <m/>
    <m/>
    <m/>
    <m/>
    <x v="6"/>
    <x v="6"/>
    <m/>
    <m/>
    <m/>
    <m/>
    <m/>
    <m/>
    <m/>
    <m/>
    <m/>
    <m/>
    <m/>
    <m/>
    <m/>
    <m/>
    <m/>
    <x v="0"/>
    <m/>
    <m/>
    <m/>
    <m/>
    <m/>
    <m/>
  </r>
  <r>
    <x v="7"/>
    <x v="0"/>
    <s v="https://sports.ndtv.com/cricket/players/107512-rahul-chahar-playerprofile"/>
    <x v="2"/>
    <n v="5.25"/>
    <x v="7"/>
    <s v="August 4, 1999 Bharaatpur, Rajasthan"/>
    <s v="22 Years, 7 Months, 12 Days"/>
    <x v="0"/>
    <x v="0"/>
    <s v="Leg break googly"/>
    <s v="IPL"/>
    <n v="42"/>
    <n v="11"/>
    <n v="4"/>
    <x v="7"/>
    <x v="7"/>
    <n v="0"/>
    <n v="0"/>
    <n v="3"/>
    <n v="0"/>
    <n v="4.42"/>
    <n v="96.87"/>
    <n v="11"/>
    <n v="0"/>
    <n v="4"/>
    <n v="1"/>
    <n v="41"/>
    <n v="150"/>
    <n v="0"/>
    <n v="1117"/>
    <n v="43"/>
    <x v="4"/>
    <n v="3"/>
    <n v="0"/>
    <n v="25.97"/>
    <n v="7.44"/>
    <n v="20.93"/>
    <n v="41"/>
  </r>
  <r>
    <x v="8"/>
    <x v="0"/>
    <s v="https://sports.ndtv.com/cricket/players/108557-arshdeep-singh-playerprofile"/>
    <x v="2"/>
    <n v="4"/>
    <x v="8"/>
    <s v="February 5, 1999 Guna, Madhya Pradesh"/>
    <s v="23 Years, 1 Months, 8 Days"/>
    <x v="0"/>
    <x v="1"/>
    <s v="Left-arm medium fast"/>
    <s v="IPL"/>
    <n v="23"/>
    <n v="3"/>
    <n v="2"/>
    <x v="8"/>
    <x v="8"/>
    <n v="0"/>
    <n v="0"/>
    <n v="0"/>
    <n v="0"/>
    <n v="2"/>
    <n v="33.33"/>
    <n v="6"/>
    <n v="0"/>
    <n v="1"/>
    <n v="0"/>
    <n v="23"/>
    <n v="76.099999999999994"/>
    <n v="1"/>
    <n v="669"/>
    <n v="30"/>
    <x v="5"/>
    <n v="3"/>
    <n v="1"/>
    <n v="22.3"/>
    <n v="8.7799999999999994"/>
    <n v="15.23"/>
    <n v="23"/>
  </r>
  <r>
    <x v="9"/>
    <x v="0"/>
    <s v="https://sports.ndtv.com/cricket/players/110975-harpreet-brar-playerprofile"/>
    <x v="1"/>
    <n v="3.8"/>
    <x v="9"/>
    <s v="September 16, 1995 Moga, Punjab"/>
    <s v="26 Years, 6 Months, 0 Days"/>
    <x v="0"/>
    <x v="1"/>
    <s v="Slow left-arm orthodox"/>
    <s v="IPL"/>
    <n v="10"/>
    <n v="6"/>
    <n v="6"/>
    <x v="9"/>
    <x v="9"/>
    <n v="0"/>
    <n v="0"/>
    <n v="5"/>
    <n v="3"/>
    <m/>
    <n v="120"/>
    <n v="2"/>
    <n v="0"/>
    <n v="0"/>
    <n v="0"/>
    <n v="10"/>
    <n v="32"/>
    <n v="1"/>
    <n v="228"/>
    <n v="5"/>
    <x v="6"/>
    <n v="1"/>
    <n v="0"/>
    <n v="45.6"/>
    <n v="7.12"/>
    <n v="38.4"/>
    <n v="10"/>
  </r>
  <r>
    <x v="10"/>
    <x v="0"/>
    <s v="https://sports.ndtv.com/cricket/players/113442-vaibhav-arora-playerprofile"/>
    <x v="2"/>
    <n v="2"/>
    <x v="10"/>
    <s v="December 14, 1997 Himachal Pradesh"/>
    <s v="24 Years, 3 Months, 1 Days"/>
    <x v="0"/>
    <x v="0"/>
    <s v="Right-arm fast medium"/>
    <m/>
    <m/>
    <m/>
    <m/>
    <x v="6"/>
    <x v="6"/>
    <m/>
    <m/>
    <m/>
    <m/>
    <m/>
    <m/>
    <m/>
    <m/>
    <m/>
    <m/>
    <m/>
    <m/>
    <m/>
    <m/>
    <m/>
    <x v="0"/>
    <m/>
    <m/>
    <m/>
    <m/>
    <m/>
    <m/>
  </r>
  <r>
    <x v="11"/>
    <x v="0"/>
    <s v="https://sports.ndtv.com/cricket/players/114984-raj-angad-bawa-playerprofile"/>
    <x v="1"/>
    <n v="2"/>
    <x v="11"/>
    <s v="November 12, 2002 Nahan, Himachal Pradesh"/>
    <s v="19 Years, 4 Months, 3 Days"/>
    <x v="0"/>
    <x v="1"/>
    <s v="Right-arm medium fast"/>
    <m/>
    <m/>
    <m/>
    <m/>
    <x v="6"/>
    <x v="6"/>
    <m/>
    <m/>
    <m/>
    <m/>
    <m/>
    <m/>
    <m/>
    <m/>
    <m/>
    <m/>
    <m/>
    <m/>
    <m/>
    <m/>
    <m/>
    <x v="0"/>
    <m/>
    <m/>
    <m/>
    <m/>
    <m/>
    <m/>
  </r>
  <r>
    <x v="12"/>
    <x v="0"/>
    <s v="https://sports.ndtv.com/cricket/players/113454-nathan-ellis-playerprofile"/>
    <x v="2"/>
    <n v="0.75"/>
    <x v="12"/>
    <s v="September 22, 1994 Greenacre, New South Wales"/>
    <s v="27 Years, 5 Months, 23 Days"/>
    <x v="4"/>
    <x v="0"/>
    <s v="Right-arm fast medium"/>
    <s v="IPL"/>
    <n v="3"/>
    <n v="2"/>
    <n v="1"/>
    <x v="10"/>
    <x v="10"/>
    <n v="0"/>
    <n v="0"/>
    <n v="0"/>
    <n v="1"/>
    <n v="18"/>
    <n v="112.5"/>
    <m/>
    <m/>
    <n v="0"/>
    <n v="0"/>
    <n v="3"/>
    <n v="11"/>
    <n v="0"/>
    <n v="90"/>
    <n v="1"/>
    <x v="7"/>
    <n v="0"/>
    <n v="0"/>
    <n v="90"/>
    <n v="8.18"/>
    <n v="66"/>
    <n v="3"/>
  </r>
  <r>
    <x v="13"/>
    <x v="0"/>
    <s v="https://sports.ndtv.com/cricket/players/110976-simran-singh-playerprofile"/>
    <x v="3"/>
    <n v="0.6"/>
    <x v="13"/>
    <d v="2000-08-10T00:00:00"/>
    <s v="21 Years, 7 Months, 5 Days"/>
    <x v="0"/>
    <x v="0"/>
    <m/>
    <m/>
    <n v="5"/>
    <n v="5"/>
    <n v="0"/>
    <x v="11"/>
    <x v="11"/>
    <n v="0"/>
    <n v="0"/>
    <n v="4"/>
    <n v="2"/>
    <n v="10"/>
    <n v="90.9"/>
    <n v="2"/>
    <n v="0"/>
    <n v="0"/>
    <n v="0"/>
    <m/>
    <m/>
    <m/>
    <m/>
    <m/>
    <x v="0"/>
    <m/>
    <m/>
    <m/>
    <m/>
    <m/>
    <m/>
  </r>
  <r>
    <x v="14"/>
    <x v="0"/>
    <s v="https://sports.ndtv.com/cricket/players/1131-rishi-dhawan-playerprofile"/>
    <x v="1"/>
    <n v="0.55000000000000004"/>
    <x v="14"/>
    <s v="February 19, 1990 Mandi, Himachal Pradesh"/>
    <s v="32 Years, 0 Months, 24 Days"/>
    <x v="0"/>
    <x v="0"/>
    <s v="Right-arm medium fast"/>
    <s v="IPL"/>
    <n v="26"/>
    <n v="17"/>
    <n v="10"/>
    <x v="3"/>
    <x v="12"/>
    <n v="0"/>
    <n v="0"/>
    <n v="13"/>
    <n v="4"/>
    <n v="21.85"/>
    <n v="113.33"/>
    <n v="6"/>
    <n v="0"/>
    <n v="2"/>
    <n v="1"/>
    <n v="25"/>
    <n v="81.2"/>
    <n v="1"/>
    <n v="640"/>
    <n v="18"/>
    <x v="8"/>
    <n v="0"/>
    <n v="0"/>
    <n v="35.549999999999997"/>
    <n v="7.86"/>
    <n v="27.11"/>
    <n v="25"/>
  </r>
  <r>
    <x v="15"/>
    <x v="0"/>
    <s v="https://sports.ndtv.com/cricket/players/43735-pramod-bhanuka-bandara-rajapaksa-playerprofile"/>
    <x v="0"/>
    <n v="0.5"/>
    <x v="15"/>
    <d v="1991-10-24T00:00:00"/>
    <s v="30 Years, 4 Months, 23 Days"/>
    <x v="5"/>
    <x v="2"/>
    <m/>
    <s v="Cricket"/>
    <m/>
    <m/>
    <m/>
    <x v="6"/>
    <x v="6"/>
    <m/>
    <m/>
    <m/>
    <m/>
    <m/>
    <m/>
    <m/>
    <m/>
    <m/>
    <m/>
    <m/>
    <m/>
    <m/>
    <m/>
    <m/>
    <x v="0"/>
    <m/>
    <m/>
    <m/>
    <m/>
    <m/>
    <m/>
  </r>
  <r>
    <x v="16"/>
    <x v="0"/>
    <s v="https://sports.ndtv.com/cricket/players/1431-sandeep-sharma-playerprofile"/>
    <x v="2"/>
    <n v="0.5"/>
    <x v="16"/>
    <s v="May 18, 1993 Patiala, Punjab"/>
    <s v="28 Years, 9 Months, 28 Days"/>
    <x v="0"/>
    <x v="0"/>
    <s v="Right-arm medium"/>
    <s v="IPL"/>
    <n v="99"/>
    <n v="25"/>
    <n v="19"/>
    <x v="12"/>
    <x v="13"/>
    <n v="0"/>
    <n v="0"/>
    <n v="4"/>
    <n v="0"/>
    <n v="8.66"/>
    <n v="81.25"/>
    <n v="12"/>
    <n v="0"/>
    <n v="9"/>
    <n v="1"/>
    <n v="99"/>
    <n v="366.2"/>
    <n v="8"/>
    <n v="2849"/>
    <n v="112"/>
    <x v="9"/>
    <n v="9"/>
    <n v="0"/>
    <n v="25.43"/>
    <n v="7.77"/>
    <n v="19.62"/>
    <n v="99"/>
  </r>
  <r>
    <x v="17"/>
    <x v="0"/>
    <s v="https://sports.ndtv.com/cricket/players/45414-benny-alexander-cameron-howell-playerprofile"/>
    <x v="1"/>
    <n v="0.4"/>
    <x v="17"/>
    <d v="1988-10-05T00:00:00"/>
    <s v="33 Years, 5 Months, 10 Days"/>
    <x v="1"/>
    <x v="2"/>
    <m/>
    <s v="Cricket"/>
    <m/>
    <m/>
    <m/>
    <x v="6"/>
    <x v="6"/>
    <m/>
    <m/>
    <m/>
    <m/>
    <m/>
    <m/>
    <m/>
    <m/>
    <m/>
    <m/>
    <m/>
    <m/>
    <m/>
    <m/>
    <m/>
    <x v="0"/>
    <m/>
    <m/>
    <m/>
    <m/>
    <m/>
    <m/>
  </r>
  <r>
    <x v="18"/>
    <x v="0"/>
    <s v="https://sports.ndtv.com/cricket/players/108572-ishan-porel-playerprofile"/>
    <x v="2"/>
    <n v="0.25"/>
    <x v="18"/>
    <s v="September 5, 1998 Hooghly, Bengal"/>
    <s v="23 Years, 6 Months, 10 Days"/>
    <x v="0"/>
    <x v="0"/>
    <s v="Right-arm medium"/>
    <s v="IPL"/>
    <n v="1"/>
    <n v="0"/>
    <n v="0"/>
    <x v="6"/>
    <x v="6"/>
    <n v="0"/>
    <n v="0"/>
    <n v="0"/>
    <n v="0"/>
    <m/>
    <n v="0"/>
    <m/>
    <m/>
    <n v="0"/>
    <n v="0"/>
    <n v="1"/>
    <n v="4"/>
    <n v="0"/>
    <n v="39"/>
    <n v="1"/>
    <x v="10"/>
    <n v="0"/>
    <n v="0"/>
    <n v="39"/>
    <n v="9.75"/>
    <n v="24"/>
    <n v="1"/>
  </r>
  <r>
    <x v="19"/>
    <x v="0"/>
    <s v="https://sports.ndtv.com/cricket/players/107510-prerak-mankad-playerprofile"/>
    <x v="1"/>
    <n v="0.2"/>
    <x v="19"/>
    <s v="April 23, 1994 Sirohi, Saurashtra"/>
    <s v="27 Years, 10 Months, 22 Days"/>
    <x v="0"/>
    <x v="0"/>
    <s v="Right-arm medium"/>
    <m/>
    <m/>
    <m/>
    <m/>
    <x v="6"/>
    <x v="6"/>
    <m/>
    <m/>
    <m/>
    <m/>
    <m/>
    <m/>
    <m/>
    <m/>
    <m/>
    <m/>
    <m/>
    <m/>
    <m/>
    <m/>
    <m/>
    <x v="0"/>
    <m/>
    <m/>
    <m/>
    <m/>
    <m/>
    <m/>
  </r>
  <r>
    <x v="20"/>
    <x v="0"/>
    <s v="https://sports.ndtv.com/cricket/players/110595-atharwa-taide-playerprofile"/>
    <x v="1"/>
    <n v="0.2"/>
    <x v="20"/>
    <s v="April 26, 2000 Akola Maharashtra"/>
    <s v="21 Years, 10 Months, 19 Days"/>
    <x v="0"/>
    <x v="1"/>
    <s v="Slow left-arm orthodox"/>
    <m/>
    <m/>
    <m/>
    <m/>
    <x v="6"/>
    <x v="6"/>
    <m/>
    <m/>
    <m/>
    <m/>
    <m/>
    <m/>
    <m/>
    <m/>
    <m/>
    <m/>
    <m/>
    <m/>
    <m/>
    <m/>
    <m/>
    <x v="0"/>
    <m/>
    <m/>
    <m/>
    <m/>
    <m/>
    <m/>
  </r>
  <r>
    <x v="21"/>
    <x v="0"/>
    <s v="https://sports.ndtv.com/cricket/players/113486-ansh-p-patel-playerprofile"/>
    <x v="1"/>
    <n v="0.2"/>
    <x v="21"/>
    <s v="February 19, 2002 Vadodara, Gujarat"/>
    <s v="20 Years, 0 Months, 24 Days"/>
    <x v="0"/>
    <x v="0"/>
    <s v="Slow left-arm orthodox"/>
    <m/>
    <m/>
    <m/>
    <m/>
    <x v="6"/>
    <x v="6"/>
    <m/>
    <m/>
    <m/>
    <m/>
    <m/>
    <m/>
    <m/>
    <m/>
    <m/>
    <m/>
    <m/>
    <m/>
    <m/>
    <m/>
    <m/>
    <x v="0"/>
    <m/>
    <m/>
    <m/>
    <m/>
    <m/>
    <m/>
  </r>
  <r>
    <x v="22"/>
    <x v="0"/>
    <s v="https://sports.ndtv.com/cricket/players/106754-jitesh-sharma-playerprofile"/>
    <x v="3"/>
    <n v="0.2"/>
    <x v="22"/>
    <s v="October 22, 1993 Amrawati, Maharashtra"/>
    <s v="28 Years, 4 Months, 24 Days"/>
    <x v="0"/>
    <x v="0"/>
    <m/>
    <m/>
    <m/>
    <m/>
    <m/>
    <x v="6"/>
    <x v="6"/>
    <m/>
    <m/>
    <m/>
    <m/>
    <m/>
    <m/>
    <m/>
    <m/>
    <m/>
    <m/>
    <m/>
    <m/>
    <m/>
    <m/>
    <m/>
    <x v="0"/>
    <m/>
    <m/>
    <m/>
    <m/>
    <m/>
    <m/>
  </r>
  <r>
    <x v="23"/>
    <x v="0"/>
    <s v="https://sports.ndtv.com/cricket/players/64856-writtick-bijoy-chatterjee-playerprofile"/>
    <x v="1"/>
    <n v="0.2"/>
    <x v="23"/>
    <s v="September 28, 1992 Jamtara, Bengal"/>
    <s v="29 Years, 5 Months, 17 Days"/>
    <x v="0"/>
    <x v="0"/>
    <s v="Off break"/>
    <m/>
    <m/>
    <m/>
    <m/>
    <x v="6"/>
    <x v="6"/>
    <m/>
    <m/>
    <m/>
    <m/>
    <m/>
    <m/>
    <m/>
    <m/>
    <m/>
    <m/>
    <m/>
    <m/>
    <m/>
    <m/>
    <m/>
    <x v="0"/>
    <m/>
    <m/>
    <m/>
    <m/>
    <m/>
    <m/>
  </r>
  <r>
    <x v="24"/>
    <x v="0"/>
    <s v="https://sports.ndtv.com/cricket/players/59711-baltej-singh-dhanda-playerprofile"/>
    <x v="2"/>
    <n v="0.2"/>
    <x v="24"/>
    <s v="November 4, 1990 Ludhiana, Punjab"/>
    <s v="31 Years, 4 Months, 11 Days"/>
    <x v="0"/>
    <x v="0"/>
    <s v="Right-arm medium"/>
    <m/>
    <m/>
    <m/>
    <m/>
    <x v="6"/>
    <x v="6"/>
    <m/>
    <m/>
    <m/>
    <m/>
    <m/>
    <m/>
    <m/>
    <m/>
    <m/>
    <m/>
    <m/>
    <m/>
    <m/>
    <m/>
    <m/>
    <x v="0"/>
    <m/>
    <m/>
    <m/>
    <m/>
    <m/>
    <m/>
  </r>
  <r>
    <x v="25"/>
    <x v="1"/>
    <s v="https://sports.ndtv.com/cricket/players/1058-kane-williamson-playerprofile"/>
    <x v="0"/>
    <n v="14"/>
    <x v="25"/>
    <s v="August 8, 1990 Tauranga"/>
    <s v="31 Years, 7 Months, 7 Days"/>
    <x v="6"/>
    <x v="0"/>
    <s v="Off break"/>
    <s v="IPL"/>
    <n v="63"/>
    <n v="62"/>
    <n v="15"/>
    <x v="13"/>
    <x v="14"/>
    <n v="0"/>
    <n v="17"/>
    <n v="165"/>
    <n v="56"/>
    <n v="40.1"/>
    <n v="131.26"/>
    <n v="29"/>
    <n v="0"/>
    <n v="1"/>
    <n v="3"/>
    <n v="2"/>
    <n v="3"/>
    <n v="0"/>
    <n v="31"/>
    <n v="0"/>
    <x v="11"/>
    <n v="0"/>
    <n v="0"/>
    <m/>
    <n v="10.33"/>
    <m/>
    <n v="2"/>
  </r>
  <r>
    <x v="26"/>
    <x v="1"/>
    <s v="https://sports.ndtv.com/cricket/players/1720-nicolas-pooran-playerprofile"/>
    <x v="3"/>
    <n v="10.75"/>
    <x v="26"/>
    <s v="October 2, 1995 Trinidad"/>
    <s v="26 Years, 5 Months, 14 Days"/>
    <x v="3"/>
    <x v="1"/>
    <m/>
    <m/>
    <n v="33"/>
    <n v="31"/>
    <n v="4"/>
    <x v="14"/>
    <x v="15"/>
    <n v="0"/>
    <n v="2"/>
    <n v="35"/>
    <n v="44"/>
    <n v="22.44"/>
    <n v="154.97999999999999"/>
    <n v="11"/>
    <n v="0"/>
    <n v="5"/>
    <n v="1"/>
    <m/>
    <m/>
    <m/>
    <m/>
    <m/>
    <x v="0"/>
    <m/>
    <m/>
    <m/>
    <m/>
    <m/>
    <m/>
  </r>
  <r>
    <x v="27"/>
    <x v="1"/>
    <s v="https://sports.ndtv.com/cricket/players/108593-washington-sundar-playerprofile"/>
    <x v="1"/>
    <n v="8.75"/>
    <x v="27"/>
    <s v="October 5, 1999 Chennai, Tamil Nadu"/>
    <s v="22 Years, 5 Months, 11 Days"/>
    <x v="0"/>
    <x v="1"/>
    <s v="Off break"/>
    <s v="IPL"/>
    <n v="42"/>
    <n v="26"/>
    <n v="10"/>
    <x v="15"/>
    <x v="16"/>
    <n v="0"/>
    <n v="0"/>
    <n v="17"/>
    <n v="6"/>
    <n v="13.56"/>
    <n v="111.28"/>
    <n v="9"/>
    <n v="0"/>
    <n v="4"/>
    <n v="0"/>
    <n v="41"/>
    <n v="125"/>
    <n v="1"/>
    <n v="867"/>
    <n v="27"/>
    <x v="12"/>
    <n v="2"/>
    <n v="0"/>
    <n v="32.11"/>
    <n v="6.93"/>
    <n v="27.77"/>
    <n v="41"/>
  </r>
  <r>
    <x v="28"/>
    <x v="1"/>
    <s v="https://sports.ndtv.com/cricket/players/12218-rahul-ajay-tripathi-playerprofile"/>
    <x v="0"/>
    <n v="8.5"/>
    <x v="28"/>
    <s v="March 2, 1991 Ranchi, Jharkhand"/>
    <s v="31 Years, 0 Months, 14 Days"/>
    <x v="0"/>
    <x v="0"/>
    <s v="Right-arm medium"/>
    <s v="IPL"/>
    <n v="62"/>
    <n v="60"/>
    <n v="7"/>
    <x v="16"/>
    <x v="17"/>
    <n v="0"/>
    <n v="7"/>
    <n v="136"/>
    <n v="48"/>
    <n v="26.13"/>
    <n v="136.31"/>
    <n v="23"/>
    <n v="0"/>
    <n v="1"/>
    <n v="4"/>
    <n v="1"/>
    <n v="1"/>
    <n v="0"/>
    <n v="12"/>
    <n v="0"/>
    <x v="13"/>
    <n v="0"/>
    <n v="0"/>
    <m/>
    <n v="12"/>
    <m/>
    <n v="1"/>
  </r>
  <r>
    <x v="29"/>
    <x v="1"/>
    <s v="https://sports.ndtv.com/cricket/players/112280-romario-shepherd-playerprofile"/>
    <x v="1"/>
    <n v="7.75"/>
    <x v="29"/>
    <s v="November 26, 1994 Guyana"/>
    <s v="27 Years, 3 Months, 19 Days"/>
    <x v="3"/>
    <x v="0"/>
    <s v="Right-arm medium fast"/>
    <m/>
    <m/>
    <m/>
    <m/>
    <x v="6"/>
    <x v="6"/>
    <m/>
    <m/>
    <m/>
    <m/>
    <m/>
    <m/>
    <m/>
    <m/>
    <m/>
    <m/>
    <m/>
    <m/>
    <m/>
    <m/>
    <m/>
    <x v="0"/>
    <m/>
    <m/>
    <m/>
    <m/>
    <m/>
    <m/>
  </r>
  <r>
    <x v="30"/>
    <x v="1"/>
    <s v="https://sports.ndtv.com/cricket/players/108562-abhishek-sharma-playerprofile"/>
    <x v="1"/>
    <n v="6.5"/>
    <x v="30"/>
    <s v="September 4, 2000 Amritsar, Punjab"/>
    <s v="21 Years, 6 Months, 11 Days"/>
    <x v="0"/>
    <x v="1"/>
    <s v="Slow left-arm orthodox"/>
    <s v="IPL"/>
    <n v="22"/>
    <n v="20"/>
    <n v="6"/>
    <x v="17"/>
    <x v="18"/>
    <n v="0"/>
    <n v="0"/>
    <n v="17"/>
    <n v="12"/>
    <n v="17.21"/>
    <n v="139.30000000000001"/>
    <n v="5"/>
    <n v="0"/>
    <n v="0"/>
    <n v="1"/>
    <n v="14"/>
    <n v="22"/>
    <n v="0"/>
    <n v="176"/>
    <n v="7"/>
    <x v="14"/>
    <n v="0"/>
    <n v="0"/>
    <n v="25.14"/>
    <n v="8"/>
    <n v="18.850000000000001"/>
    <n v="14"/>
  </r>
  <r>
    <x v="31"/>
    <x v="1"/>
    <s v="https://sports.ndtv.com/cricket/players/1250-bhuvneshwar-kumar-playerprofile"/>
    <x v="2"/>
    <n v="4.2"/>
    <x v="31"/>
    <s v="February 5, 1990 Meerut, Uttar Pradesh"/>
    <s v="32 Years, 1 Months, 7 Days"/>
    <x v="0"/>
    <x v="0"/>
    <s v="Right-arm medium"/>
    <s v="IPL"/>
    <n v="132"/>
    <n v="51"/>
    <n v="25"/>
    <x v="15"/>
    <x v="19"/>
    <n v="0"/>
    <n v="0"/>
    <n v="20"/>
    <n v="3"/>
    <n v="8.34"/>
    <n v="96.87"/>
    <n v="27"/>
    <n v="0"/>
    <n v="9"/>
    <n v="4"/>
    <n v="132"/>
    <n v="491.3"/>
    <n v="9"/>
    <n v="3588"/>
    <n v="142"/>
    <x v="15"/>
    <n v="9"/>
    <n v="1"/>
    <n v="25.26"/>
    <n v="7.3"/>
    <n v="20.76"/>
    <n v="132"/>
  </r>
  <r>
    <x v="32"/>
    <x v="1"/>
    <s v="https://sports.ndtv.com/cricket/players/113406-marco-jansen-playerprofile"/>
    <x v="1"/>
    <n v="4.2"/>
    <x v="32"/>
    <s v="May 1, 2000 Potchefstroom, North West, South Africa"/>
    <s v="21 Years, 10 Months, 14 Days"/>
    <x v="2"/>
    <x v="0"/>
    <s v="Left-arm fast"/>
    <s v="IPL"/>
    <n v="2"/>
    <n v="2"/>
    <n v="0"/>
    <x v="18"/>
    <x v="20"/>
    <n v="0"/>
    <n v="0"/>
    <n v="0"/>
    <n v="0"/>
    <n v="0"/>
    <n v="0"/>
    <n v="1"/>
    <n v="0"/>
    <n v="2"/>
    <n v="0"/>
    <n v="2"/>
    <n v="6"/>
    <n v="0"/>
    <n v="45"/>
    <n v="2"/>
    <x v="16"/>
    <n v="0"/>
    <n v="0"/>
    <n v="22.5"/>
    <n v="7.5"/>
    <n v="18"/>
    <n v="2"/>
  </r>
  <r>
    <x v="33"/>
    <x v="1"/>
    <s v="https://sports.ndtv.com/cricket/players/113473-umran-malik-playerprofile"/>
    <x v="2"/>
    <n v="4"/>
    <x v="33"/>
    <s v="November 22, 1999 Srinagar, Jammu &amp; Kashmir"/>
    <s v="22 Years, 3 Months, 24 Days"/>
    <x v="0"/>
    <x v="0"/>
    <s v="Right-arm medium fast"/>
    <s v="IPL"/>
    <n v="3"/>
    <n v="0"/>
    <n v="0"/>
    <x v="6"/>
    <x v="6"/>
    <n v="0"/>
    <n v="0"/>
    <n v="0"/>
    <n v="0"/>
    <m/>
    <n v="0"/>
    <m/>
    <m/>
    <n v="0"/>
    <n v="0"/>
    <n v="3"/>
    <n v="12"/>
    <n v="0"/>
    <n v="96"/>
    <n v="2"/>
    <x v="17"/>
    <n v="0"/>
    <n v="0"/>
    <n v="48"/>
    <n v="8"/>
    <n v="36"/>
    <n v="3"/>
  </r>
  <r>
    <x v="34"/>
    <x v="1"/>
    <s v="https://sports.ndtv.com/cricket/players/113179-abdul-samad-playerprofile"/>
    <x v="0"/>
    <n v="4"/>
    <x v="34"/>
    <s v="October 28, 2001 Kala Kot, Jammu &amp; Kashmir"/>
    <s v="20 Years, 4 Months, 18 Days"/>
    <x v="0"/>
    <x v="0"/>
    <s v="Leg break"/>
    <s v="IPL"/>
    <n v="23"/>
    <n v="18"/>
    <n v="4"/>
    <x v="19"/>
    <x v="21"/>
    <n v="0"/>
    <n v="0"/>
    <n v="12"/>
    <n v="14"/>
    <n v="15.85"/>
    <n v="146.05000000000001"/>
    <n v="13"/>
    <n v="0"/>
    <n v="2"/>
    <n v="1"/>
    <n v="4"/>
    <n v="8"/>
    <n v="0"/>
    <n v="105"/>
    <n v="2"/>
    <x v="18"/>
    <n v="0"/>
    <n v="0"/>
    <n v="52.5"/>
    <n v="13.12"/>
    <n v="24"/>
    <n v="4"/>
  </r>
  <r>
    <x v="35"/>
    <x v="1"/>
    <s v="https://sports.ndtv.com/cricket/players/107525-t-natarajan-playerprofile"/>
    <x v="2"/>
    <n v="4"/>
    <x v="35"/>
    <s v="May 27, 1991 Salem"/>
    <s v="30 Years, 9 Months, 20 Days"/>
    <x v="0"/>
    <x v="1"/>
    <s v="Left-arm medium"/>
    <s v="IPL"/>
    <n v="24"/>
    <n v="4"/>
    <n v="4"/>
    <x v="20"/>
    <x v="22"/>
    <n v="0"/>
    <n v="0"/>
    <n v="0"/>
    <n v="0"/>
    <m/>
    <n v="60"/>
    <n v="3"/>
    <n v="0"/>
    <n v="3"/>
    <n v="0"/>
    <n v="24"/>
    <n v="83.3"/>
    <n v="1"/>
    <n v="688"/>
    <n v="20"/>
    <x v="19"/>
    <n v="0"/>
    <n v="0"/>
    <n v="34.4"/>
    <n v="8.23"/>
    <n v="25.05"/>
    <n v="24"/>
  </r>
  <r>
    <x v="36"/>
    <x v="1"/>
    <s v="https://sports.ndtv.com/cricket/players/108595-kartik-tyagi-playerprofile"/>
    <x v="2"/>
    <n v="4"/>
    <x v="36"/>
    <s v="November 8, 2000 Hapur, Uttar Pradesh"/>
    <s v="21 Years, 4 Months, 7 Days"/>
    <x v="0"/>
    <x v="0"/>
    <s v="Right-arm medium fast"/>
    <s v="IPL"/>
    <n v="14"/>
    <n v="5"/>
    <n v="3"/>
    <x v="21"/>
    <x v="23"/>
    <n v="0"/>
    <n v="0"/>
    <n v="0"/>
    <n v="0"/>
    <n v="3"/>
    <n v="60"/>
    <n v="3"/>
    <n v="0"/>
    <n v="1"/>
    <n v="0"/>
    <n v="14"/>
    <n v="52.1"/>
    <n v="0"/>
    <n v="491"/>
    <n v="13"/>
    <x v="20"/>
    <n v="0"/>
    <n v="0"/>
    <n v="37.76"/>
    <n v="9.41"/>
    <n v="24.07"/>
    <n v="14"/>
  </r>
  <r>
    <x v="37"/>
    <x v="1"/>
    <s v="https://sports.ndtv.com/cricket/players/64634-aiden-kyle-markram-playerprofile"/>
    <x v="0"/>
    <n v="2.6"/>
    <x v="37"/>
    <s v="October 4, 1994 Centurion"/>
    <s v="27 Years, 5 Months, 11 Days"/>
    <x v="2"/>
    <x v="0"/>
    <s v="Off break"/>
    <s v="IPL"/>
    <n v="6"/>
    <n v="6"/>
    <n v="1"/>
    <x v="22"/>
    <x v="24"/>
    <n v="0"/>
    <n v="0"/>
    <n v="12"/>
    <n v="4"/>
    <n v="29.2"/>
    <n v="122.68"/>
    <n v="3"/>
    <n v="0"/>
    <n v="0"/>
    <n v="0"/>
    <n v="2"/>
    <n v="4"/>
    <n v="0"/>
    <n v="23"/>
    <n v="0"/>
    <x v="21"/>
    <n v="0"/>
    <n v="0"/>
    <m/>
    <n v="5.75"/>
    <m/>
    <n v="2"/>
  </r>
  <r>
    <x v="38"/>
    <x v="1"/>
    <s v="https://sports.ndtv.com/cricket/players/106719-sean-abbott-playerprofile"/>
    <x v="2"/>
    <n v="2.4"/>
    <x v="38"/>
    <s v="February 29, 1992 Windsor, New South Wales"/>
    <s v="30 Years, 0 Months, 15 Days"/>
    <x v="4"/>
    <x v="0"/>
    <s v="Right-arm fast medium"/>
    <s v="IPL"/>
    <n v="2"/>
    <n v="2"/>
    <n v="0"/>
    <x v="23"/>
    <x v="25"/>
    <n v="0"/>
    <n v="0"/>
    <n v="1"/>
    <n v="1"/>
    <n v="7.5"/>
    <n v="115.38"/>
    <m/>
    <m/>
    <n v="0"/>
    <n v="1"/>
    <n v="2"/>
    <n v="5"/>
    <n v="0"/>
    <n v="57"/>
    <n v="0"/>
    <x v="22"/>
    <n v="0"/>
    <n v="0"/>
    <m/>
    <n v="11.4"/>
    <m/>
    <n v="2"/>
  </r>
  <r>
    <x v="39"/>
    <x v="1"/>
    <s v="https://sports.ndtv.com/cricket/players/107472-glenn-phillips-playerprofile"/>
    <x v="3"/>
    <n v="1.5"/>
    <x v="39"/>
    <s v="December 6, 1996 East London, Eastern Cape"/>
    <s v="25 Years, 3 Months, 9 Days"/>
    <x v="6"/>
    <x v="0"/>
    <s v="Off break"/>
    <s v="IPL"/>
    <n v="3"/>
    <n v="3"/>
    <n v="1"/>
    <x v="24"/>
    <x v="26"/>
    <n v="0"/>
    <n v="0"/>
    <n v="1"/>
    <n v="2"/>
    <n v="13"/>
    <n v="78.78"/>
    <n v="1"/>
    <n v="0"/>
    <n v="0"/>
    <n v="0"/>
    <n v="2"/>
    <n v="2"/>
    <n v="0"/>
    <n v="20"/>
    <n v="1"/>
    <x v="23"/>
    <n v="0"/>
    <n v="0"/>
    <n v="20"/>
    <n v="10"/>
    <n v="12"/>
    <n v="2"/>
  </r>
  <r>
    <x v="40"/>
    <x v="1"/>
    <s v="https://sports.ndtv.com/cricket/players/51296-shreyas-gopal-playerprofile"/>
    <x v="2"/>
    <n v="0.75"/>
    <x v="40"/>
    <s v="September 4, 1993 Banglaore, Karnataka"/>
    <s v="28 Years, 6 Months, 11 Days"/>
    <x v="0"/>
    <x v="0"/>
    <s v="Leg break"/>
    <s v="IPL"/>
    <n v="48"/>
    <n v="21"/>
    <n v="7"/>
    <x v="25"/>
    <x v="27"/>
    <n v="0"/>
    <n v="0"/>
    <n v="17"/>
    <n v="2"/>
    <n v="12.21"/>
    <n v="105.55"/>
    <n v="11"/>
    <n v="0"/>
    <n v="4"/>
    <n v="2"/>
    <n v="47"/>
    <n v="155.1"/>
    <n v="1"/>
    <n v="1247"/>
    <n v="48"/>
    <x v="24"/>
    <n v="4"/>
    <n v="0"/>
    <n v="25.97"/>
    <n v="8.0299999999999994"/>
    <n v="19.39"/>
    <n v="47"/>
  </r>
  <r>
    <x v="41"/>
    <x v="1"/>
    <s v="https://sports.ndtv.com/cricket/players/112535-fazal-haque-playerprofile"/>
    <x v="2"/>
    <n v="0.5"/>
    <x v="41"/>
    <s v="September 22, 2000 Baghlan"/>
    <s v="21 Years, 5 Months, 23 Days"/>
    <x v="7"/>
    <x v="0"/>
    <s v="Left-arm medium"/>
    <m/>
    <m/>
    <m/>
    <m/>
    <x v="6"/>
    <x v="6"/>
    <m/>
    <m/>
    <m/>
    <m/>
    <m/>
    <m/>
    <m/>
    <m/>
    <m/>
    <m/>
    <m/>
    <m/>
    <m/>
    <m/>
    <m/>
    <x v="0"/>
    <m/>
    <m/>
    <m/>
    <m/>
    <m/>
    <m/>
  </r>
  <r>
    <x v="42"/>
    <x v="1"/>
    <s v="https://sports.ndtv.com/cricket/players/107531-vishnu-vinod-playerprofile"/>
    <x v="3"/>
    <n v="0.5"/>
    <x v="42"/>
    <s v="December 2, 1993 Pathanamthitta, Kerala"/>
    <s v="28 Years, 3 Months, 13 Days"/>
    <x v="0"/>
    <x v="0"/>
    <m/>
    <m/>
    <n v="3"/>
    <n v="3"/>
    <n v="0"/>
    <x v="26"/>
    <x v="28"/>
    <n v="0"/>
    <n v="0"/>
    <n v="1"/>
    <n v="1"/>
    <n v="6.33"/>
    <n v="73.069999999999993"/>
    <n v="0"/>
    <n v="2"/>
    <n v="0"/>
    <n v="1"/>
    <m/>
    <m/>
    <m/>
    <m/>
    <m/>
    <x v="0"/>
    <m/>
    <m/>
    <m/>
    <m/>
    <m/>
    <m/>
  </r>
  <r>
    <x v="43"/>
    <x v="1"/>
    <s v="https://sports.ndtv.com/cricket/players/110579-priyam-garg-playerprofile"/>
    <x v="0"/>
    <n v="0.2"/>
    <x v="43"/>
    <s v="November 30, 2000 Meerut, Uttar Pradesh"/>
    <s v="21 Years, 3 Months, 15 Days"/>
    <x v="0"/>
    <x v="0"/>
    <s v="Right-arm medium"/>
    <m/>
    <n v="19"/>
    <n v="15"/>
    <n v="1"/>
    <x v="27"/>
    <x v="29"/>
    <n v="0"/>
    <n v="1"/>
    <n v="11"/>
    <n v="7"/>
    <n v="14.64"/>
    <n v="110.81"/>
    <n v="6"/>
    <n v="0"/>
    <n v="2"/>
    <n v="1"/>
    <m/>
    <m/>
    <m/>
    <m/>
    <m/>
    <x v="0"/>
    <m/>
    <m/>
    <m/>
    <m/>
    <m/>
    <m/>
  </r>
  <r>
    <x v="44"/>
    <x v="1"/>
    <s v="https://sports.ndtv.com/cricket/players/113468-saurabh-dubey-playerprofile"/>
    <x v="2"/>
    <n v="0.2"/>
    <x v="44"/>
    <d v="1998-01-23T00:00:00"/>
    <s v="24 Years, 1 Months, 20 Days"/>
    <x v="0"/>
    <x v="0"/>
    <s v="Left-arm medium fast"/>
    <m/>
    <m/>
    <m/>
    <m/>
    <x v="6"/>
    <x v="6"/>
    <m/>
    <m/>
    <m/>
    <m/>
    <m/>
    <m/>
    <m/>
    <m/>
    <m/>
    <m/>
    <m/>
    <m/>
    <m/>
    <m/>
    <m/>
    <x v="0"/>
    <m/>
    <m/>
    <m/>
    <m/>
    <m/>
    <m/>
  </r>
  <r>
    <x v="45"/>
    <x v="1"/>
    <s v="https://sports.ndtv.com/cricket/players/106726-jagadeesha-suchith-playerprofile"/>
    <x v="2"/>
    <n v="0.2"/>
    <x v="45"/>
    <s v="January 16, 1994 Mysore"/>
    <s v="28 Years, 2 Months, -1 Days"/>
    <x v="0"/>
    <x v="1"/>
    <s v="Slow left-arm orthodox"/>
    <s v="IPL"/>
    <n v="17"/>
    <n v="8"/>
    <n v="6"/>
    <x v="28"/>
    <x v="30"/>
    <n v="0"/>
    <n v="0"/>
    <n v="6"/>
    <n v="3"/>
    <n v="34"/>
    <n v="128.30000000000001"/>
    <n v="9"/>
    <n v="0"/>
    <n v="2"/>
    <n v="1"/>
    <n v="16"/>
    <n v="52"/>
    <n v="0"/>
    <n v="462"/>
    <n v="12"/>
    <x v="25"/>
    <n v="0"/>
    <n v="0"/>
    <n v="38.5"/>
    <n v="8.8800000000000008"/>
    <n v="26"/>
    <n v="16"/>
  </r>
  <r>
    <x v="46"/>
    <x v="1"/>
    <s v="https://sports.ndtv.com/cricket/players/63951-shashank-singh-playerprofile"/>
    <x v="1"/>
    <n v="0.2"/>
    <x v="46"/>
    <s v="November 21, 1991 Bhilai"/>
    <s v="30 Years, 3 Months, 25 Days"/>
    <x v="0"/>
    <x v="0"/>
    <s v="Off break"/>
    <m/>
    <m/>
    <m/>
    <m/>
    <x v="6"/>
    <x v="6"/>
    <m/>
    <m/>
    <m/>
    <m/>
    <m/>
    <m/>
    <m/>
    <m/>
    <m/>
    <m/>
    <m/>
    <m/>
    <m/>
    <m/>
    <m/>
    <x v="0"/>
    <m/>
    <m/>
    <m/>
    <m/>
    <m/>
    <m/>
  </r>
  <r>
    <x v="47"/>
    <x v="1"/>
    <s v="https://sports.ndtv.com/cricket/players/63978-ravikumar-samarth-playerprofile"/>
    <x v="0"/>
    <n v="0.2"/>
    <x v="47"/>
    <d v="1993-01-22T00:00:00"/>
    <s v="29 Years, 1 Months, 21 Days"/>
    <x v="0"/>
    <x v="2"/>
    <m/>
    <s v="Cricket"/>
    <m/>
    <m/>
    <m/>
    <x v="6"/>
    <x v="6"/>
    <m/>
    <m/>
    <m/>
    <m/>
    <m/>
    <m/>
    <m/>
    <m/>
    <m/>
    <m/>
    <m/>
    <m/>
    <m/>
    <m/>
    <m/>
    <x v="0"/>
    <m/>
    <m/>
    <m/>
    <m/>
    <m/>
    <m/>
  </r>
  <r>
    <x v="48"/>
    <x v="2"/>
    <s v="https://sports.ndtv.com/cricket/players/1701-sanju-samson-playerprofile"/>
    <x v="3"/>
    <n v="14"/>
    <x v="48"/>
    <s v="November 11, 1994 Pulluvila, Vizhinjam, Trivandrum"/>
    <s v="27 Years, 4 Months, 4 Days"/>
    <x v="0"/>
    <x v="0"/>
    <m/>
    <m/>
    <n v="121"/>
    <n v="117"/>
    <n v="12"/>
    <x v="29"/>
    <x v="31"/>
    <n v="3"/>
    <n v="15"/>
    <n v="236"/>
    <n v="132"/>
    <n v="29.21"/>
    <n v="134.19999999999999"/>
    <n v="59"/>
    <n v="10"/>
    <n v="8"/>
    <n v="6"/>
    <m/>
    <m/>
    <m/>
    <m/>
    <m/>
    <x v="0"/>
    <m/>
    <m/>
    <m/>
    <m/>
    <m/>
    <m/>
  </r>
  <r>
    <x v="49"/>
    <x v="2"/>
    <s v="https://sports.ndtv.com/cricket/players/107509-prasidh-krishna-playerprofile"/>
    <x v="2"/>
    <n v="10"/>
    <x v="49"/>
    <s v="February 19, 1996 Bangalore, Karnataka"/>
    <s v="26 Years, 0 Months, 25 Days"/>
    <x v="0"/>
    <x v="0"/>
    <s v="Right-arm medium fast"/>
    <s v="IPL"/>
    <n v="34"/>
    <n v="7"/>
    <n v="5"/>
    <x v="20"/>
    <x v="32"/>
    <n v="0"/>
    <n v="0"/>
    <n v="0"/>
    <n v="0"/>
    <n v="1.5"/>
    <n v="25"/>
    <n v="7"/>
    <n v="0"/>
    <n v="5"/>
    <n v="1"/>
    <n v="34"/>
    <n v="124.2"/>
    <n v="0"/>
    <n v="1152"/>
    <n v="30"/>
    <x v="26"/>
    <n v="2"/>
    <n v="0"/>
    <n v="38.4"/>
    <n v="9.26"/>
    <n v="24.86"/>
    <n v="34"/>
  </r>
  <r>
    <x v="50"/>
    <x v="2"/>
    <s v="https://sports.ndtv.com/cricket/players/1367-jos-buttler-playerprofile"/>
    <x v="3"/>
    <n v="10"/>
    <x v="50"/>
    <s v="September 8, 1990 Taunton, Somerset"/>
    <s v="31 Years, 6 Months, 7 Days"/>
    <x v="1"/>
    <x v="0"/>
    <m/>
    <m/>
    <n v="65"/>
    <n v="64"/>
    <n v="8"/>
    <x v="30"/>
    <x v="33"/>
    <n v="1"/>
    <n v="11"/>
    <n v="194"/>
    <n v="90"/>
    <n v="35.14"/>
    <n v="150"/>
    <n v="34"/>
    <n v="1"/>
    <n v="1"/>
    <n v="3"/>
    <m/>
    <m/>
    <m/>
    <m/>
    <m/>
    <x v="0"/>
    <m/>
    <m/>
    <m/>
    <m/>
    <m/>
    <m/>
  </r>
  <r>
    <x v="51"/>
    <x v="2"/>
    <s v="https://sports.ndtv.com/cricket/players/107627-shimron-hetmyer-playerprofile"/>
    <x v="0"/>
    <n v="8.5"/>
    <x v="51"/>
    <s v="December 26, 1996 Cumberland, Berbice"/>
    <s v="25 Years, 2 Months, 20 Days"/>
    <x v="3"/>
    <x v="1"/>
    <m/>
    <m/>
    <n v="31"/>
    <n v="29"/>
    <n v="9"/>
    <x v="31"/>
    <x v="34"/>
    <n v="0"/>
    <n v="2"/>
    <n v="34"/>
    <n v="31"/>
    <n v="25.85"/>
    <n v="151.16999999999999"/>
    <n v="14"/>
    <n v="0"/>
    <n v="3"/>
    <n v="2"/>
    <m/>
    <m/>
    <m/>
    <m/>
    <m/>
    <x v="0"/>
    <m/>
    <m/>
    <m/>
    <m/>
    <m/>
    <m/>
  </r>
  <r>
    <x v="52"/>
    <x v="2"/>
    <s v="https://sports.ndtv.com/cricket/players/1061-trent-boult-playerprofile"/>
    <x v="2"/>
    <n v="8"/>
    <x v="52"/>
    <s v="July 22, 1989 Rotorua"/>
    <s v="32 Years, 7 Months, 24 Days"/>
    <x v="6"/>
    <x v="0"/>
    <s v="Left-arm fast medium"/>
    <s v="IPL"/>
    <n v="62"/>
    <n v="10"/>
    <n v="7"/>
    <x v="32"/>
    <x v="35"/>
    <n v="0"/>
    <n v="0"/>
    <n v="0"/>
    <n v="1"/>
    <n v="4.33"/>
    <n v="68.42"/>
    <n v="23"/>
    <n v="0"/>
    <n v="6"/>
    <n v="0"/>
    <n v="62"/>
    <n v="236.1"/>
    <n v="5"/>
    <n v="1983"/>
    <n v="76"/>
    <x v="27"/>
    <n v="5"/>
    <n v="0"/>
    <n v="26.09"/>
    <n v="8.39"/>
    <n v="18.64"/>
    <n v="62"/>
  </r>
  <r>
    <x v="53"/>
    <x v="2"/>
    <s v="https://sports.ndtv.com/cricket/players/110591-devdutt-padikkal-playerprofile"/>
    <x v="0"/>
    <n v="7.75"/>
    <x v="53"/>
    <s v="July 7, 2000 Edapal, Kerala"/>
    <s v="21 Years, 8 Months, 8 Days"/>
    <x v="0"/>
    <x v="1"/>
    <s v="Off break"/>
    <m/>
    <n v="29"/>
    <n v="29"/>
    <n v="1"/>
    <x v="33"/>
    <x v="36"/>
    <n v="1"/>
    <n v="6"/>
    <n v="95"/>
    <n v="22"/>
    <n v="31.57"/>
    <n v="125.03"/>
    <n v="15"/>
    <n v="0"/>
    <n v="2"/>
    <n v="1"/>
    <m/>
    <m/>
    <m/>
    <m/>
    <m/>
    <x v="0"/>
    <m/>
    <m/>
    <m/>
    <m/>
    <m/>
    <m/>
  </r>
  <r>
    <x v="54"/>
    <x v="2"/>
    <s v="https://sports.ndtv.com/cricket/players/1394-yuzvendra-chahal-playerprofile"/>
    <x v="2"/>
    <n v="6.5"/>
    <x v="54"/>
    <s v="July 23, 1990 Jind, Haryana, India"/>
    <s v="31 Years, 7 Months, 23 Days"/>
    <x v="0"/>
    <x v="0"/>
    <s v="Leg break googly"/>
    <s v="IPL"/>
    <n v="114"/>
    <n v="18"/>
    <n v="12"/>
    <x v="34"/>
    <x v="37"/>
    <n v="0"/>
    <n v="0"/>
    <n v="0"/>
    <n v="0"/>
    <n v="5.33"/>
    <n v="41.02"/>
    <n v="24"/>
    <n v="0"/>
    <n v="5"/>
    <n v="2"/>
    <n v="113"/>
    <n v="408"/>
    <n v="4"/>
    <n v="3097"/>
    <n v="139"/>
    <x v="28"/>
    <n v="9"/>
    <n v="0"/>
    <n v="22.28"/>
    <n v="7.59"/>
    <n v="17.61"/>
    <n v="113"/>
  </r>
  <r>
    <x v="55"/>
    <x v="2"/>
    <s v="https://sports.ndtv.com/cricket/players/1109-ravichandran-ashwin-playerprofile"/>
    <x v="1"/>
    <n v="5"/>
    <x v="55"/>
    <s v="September 17, 1986 Chennai, Tamil Nadu"/>
    <s v="35 Years, 5 Months, 28 Days"/>
    <x v="0"/>
    <x v="0"/>
    <s v="Off break"/>
    <s v="IPL"/>
    <n v="167"/>
    <n v="63"/>
    <n v="22"/>
    <x v="35"/>
    <x v="38"/>
    <n v="0"/>
    <n v="0"/>
    <n v="37"/>
    <n v="12"/>
    <n v="11.12"/>
    <n v="109.88"/>
    <n v="37"/>
    <n v="0"/>
    <n v="15"/>
    <n v="5"/>
    <n v="164"/>
    <n v="583"/>
    <n v="4"/>
    <n v="4031"/>
    <n v="145"/>
    <x v="29"/>
    <n v="6"/>
    <n v="0"/>
    <n v="27.8"/>
    <n v="6.91"/>
    <n v="24.12"/>
    <n v="164"/>
  </r>
  <r>
    <x v="56"/>
    <x v="2"/>
    <s v="https://sports.ndtv.com/cricket/players/112646-yashasvi-jaiswal-playerprofile"/>
    <x v="0"/>
    <n v="4"/>
    <x v="56"/>
    <s v="December 28, 2001 Suriya, Uttar Pradesh"/>
    <s v="20 Years, 2 Months, 18 Days"/>
    <x v="0"/>
    <x v="1"/>
    <s v="Leg break"/>
    <m/>
    <n v="13"/>
    <n v="13"/>
    <n v="0"/>
    <x v="36"/>
    <x v="39"/>
    <n v="0"/>
    <n v="1"/>
    <n v="34"/>
    <n v="12"/>
    <n v="22.23"/>
    <n v="136.32"/>
    <n v="4"/>
    <n v="0"/>
    <n v="2"/>
    <n v="0"/>
    <m/>
    <m/>
    <m/>
    <m/>
    <m/>
    <x v="0"/>
    <m/>
    <m/>
    <m/>
    <m/>
    <m/>
    <m/>
  </r>
  <r>
    <x v="57"/>
    <x v="2"/>
    <s v="https://sports.ndtv.com/cricket/players/108566-riyan-parag-playerprofile"/>
    <x v="1"/>
    <n v="3.8"/>
    <x v="57"/>
    <s v="November 10, 2001 Guwahati, Assam"/>
    <s v="20 Years, 4 Months, 5 Days"/>
    <x v="0"/>
    <x v="0"/>
    <s v="Leg break"/>
    <s v="IPL"/>
    <n v="30"/>
    <n v="23"/>
    <n v="3"/>
    <x v="37"/>
    <x v="40"/>
    <n v="0"/>
    <n v="1"/>
    <n v="29"/>
    <n v="12"/>
    <n v="16.95"/>
    <n v="118.53"/>
    <n v="12"/>
    <n v="0"/>
    <n v="3"/>
    <n v="2"/>
    <n v="15"/>
    <n v="22.1"/>
    <n v="0"/>
    <n v="221"/>
    <n v="3"/>
    <x v="30"/>
    <n v="0"/>
    <n v="0"/>
    <n v="73.66"/>
    <n v="9.9600000000000009"/>
    <n v="44.33"/>
    <n v="15"/>
  </r>
  <r>
    <x v="58"/>
    <x v="2"/>
    <s v="https://sports.ndtv.com/cricket/players/64853-navdeep-amarjeet-saini-playerprofile"/>
    <x v="2"/>
    <n v="2.6"/>
    <x v="58"/>
    <s v="November 23, 1992 Karnal, Haryana"/>
    <s v="29 Years, 3 Months, 22 Days"/>
    <x v="0"/>
    <x v="0"/>
    <s v="Right-arm fast"/>
    <s v="IPL"/>
    <n v="28"/>
    <n v="6"/>
    <n v="3"/>
    <x v="7"/>
    <x v="41"/>
    <n v="0"/>
    <n v="0"/>
    <n v="3"/>
    <n v="0"/>
    <n v="10.33"/>
    <n v="88.57"/>
    <n v="6"/>
    <n v="0"/>
    <n v="1"/>
    <n v="0"/>
    <n v="28"/>
    <n v="97.4"/>
    <n v="1"/>
    <n v="828"/>
    <n v="17"/>
    <x v="31"/>
    <n v="0"/>
    <n v="0"/>
    <n v="48.7"/>
    <n v="8.4700000000000006"/>
    <n v="34.47"/>
    <n v="28"/>
  </r>
  <r>
    <x v="59"/>
    <x v="2"/>
    <s v="https://sports.ndtv.com/cricket/players/1424-nathan-coulter-nile-playerprofile"/>
    <x v="2"/>
    <n v="2"/>
    <x v="59"/>
    <s v="October 11, 1987 Osborne Park, Western Australia"/>
    <s v="34 Years, 5 Months, 5 Days"/>
    <x v="4"/>
    <x v="0"/>
    <s v="Right-arm fast"/>
    <s v="IPL"/>
    <n v="38"/>
    <n v="16"/>
    <n v="5"/>
    <x v="38"/>
    <x v="42"/>
    <n v="0"/>
    <n v="0"/>
    <n v="7"/>
    <n v="4"/>
    <n v="7.36"/>
    <n v="115.71"/>
    <n v="12"/>
    <n v="0"/>
    <n v="1"/>
    <n v="1"/>
    <n v="37"/>
    <n v="139.5"/>
    <n v="1"/>
    <n v="1052"/>
    <n v="48"/>
    <x v="32"/>
    <n v="5"/>
    <n v="0"/>
    <n v="21.91"/>
    <n v="7.52"/>
    <n v="17.47"/>
    <n v="37"/>
  </r>
  <r>
    <x v="60"/>
    <x v="2"/>
    <s v="https://sports.ndtv.com/cricket/players/1441-james-neesham-playerprofile"/>
    <x v="1"/>
    <n v="1.5"/>
    <x v="60"/>
    <s v="September 17, 1990 Auckland"/>
    <s v="31 Years, 5 Months, 28 Days"/>
    <x v="6"/>
    <x v="1"/>
    <s v="Right-arm medium fast"/>
    <s v="IPL"/>
    <n v="12"/>
    <n v="8"/>
    <n v="1"/>
    <x v="39"/>
    <x v="43"/>
    <n v="0"/>
    <n v="0"/>
    <n v="3"/>
    <n v="2"/>
    <n v="8.7100000000000009"/>
    <n v="92.42"/>
    <n v="1"/>
    <n v="0"/>
    <n v="2"/>
    <n v="0"/>
    <n v="12"/>
    <n v="33"/>
    <n v="0"/>
    <n v="305"/>
    <n v="8"/>
    <x v="33"/>
    <n v="1"/>
    <n v="0"/>
    <n v="38.119999999999997"/>
    <n v="9.24"/>
    <n v="24.75"/>
    <n v="12"/>
  </r>
  <r>
    <x v="61"/>
    <x v="2"/>
    <s v="https://sports.ndtv.com/cricket/players/1708-karun-nair-playerprofile"/>
    <x v="0"/>
    <n v="1.4"/>
    <x v="61"/>
    <s v="December 6, 1991 Jodhpur, Rajasthan"/>
    <s v="30 Years, 3 Months, 10 Days"/>
    <x v="0"/>
    <x v="0"/>
    <s v="Off break"/>
    <m/>
    <n v="73"/>
    <n v="66"/>
    <n v="5"/>
    <x v="40"/>
    <x v="44"/>
    <n v="0"/>
    <n v="10"/>
    <n v="160"/>
    <n v="39"/>
    <n v="24.26"/>
    <n v="128.36000000000001"/>
    <n v="22"/>
    <n v="0"/>
    <n v="3"/>
    <n v="1"/>
    <m/>
    <m/>
    <m/>
    <m/>
    <m/>
    <x v="0"/>
    <m/>
    <m/>
    <m/>
    <m/>
    <m/>
    <m/>
  </r>
  <r>
    <x v="62"/>
    <x v="2"/>
    <s v="https://sports.ndtv.com/cricket/players/1541-rassie-van-der-dussen-playerprofile"/>
    <x v="0"/>
    <n v="1"/>
    <x v="62"/>
    <m/>
    <m/>
    <x v="8"/>
    <x v="2"/>
    <m/>
    <m/>
    <m/>
    <m/>
    <m/>
    <x v="6"/>
    <x v="6"/>
    <m/>
    <m/>
    <m/>
    <m/>
    <m/>
    <m/>
    <m/>
    <m/>
    <m/>
    <m/>
    <m/>
    <m/>
    <m/>
    <m/>
    <m/>
    <x v="0"/>
    <m/>
    <m/>
    <m/>
    <m/>
    <m/>
    <m/>
  </r>
  <r>
    <x v="63"/>
    <x v="2"/>
    <s v="https://sports.ndtv.com/cricket/players/110382-obed-mccoy-playerprofile"/>
    <x v="2"/>
    <n v="0.75"/>
    <x v="63"/>
    <d v="1997-01-04T00:00:00"/>
    <s v="25 Years, 2 Months, 11 Days"/>
    <x v="3"/>
    <x v="1"/>
    <s v="Left-arm medium fast"/>
    <m/>
    <m/>
    <m/>
    <m/>
    <x v="6"/>
    <x v="6"/>
    <m/>
    <m/>
    <m/>
    <m/>
    <m/>
    <m/>
    <m/>
    <m/>
    <m/>
    <m/>
    <m/>
    <m/>
    <m/>
    <m/>
    <m/>
    <x v="0"/>
    <m/>
    <m/>
    <m/>
    <m/>
    <m/>
    <m/>
  </r>
  <r>
    <x v="64"/>
    <x v="2"/>
    <s v="https://sports.ndtv.com/cricket/players/50709-daryl-joseph-mitchell-playerprofile"/>
    <x v="1"/>
    <n v="0.75"/>
    <x v="64"/>
    <s v="May 20, 1991 Hamilton"/>
    <s v="30 Years, 9 Months, 27 Days"/>
    <x v="6"/>
    <x v="0"/>
    <s v="Right-arm medium"/>
    <m/>
    <m/>
    <m/>
    <m/>
    <x v="6"/>
    <x v="6"/>
    <m/>
    <m/>
    <m/>
    <m/>
    <m/>
    <m/>
    <m/>
    <m/>
    <m/>
    <m/>
    <m/>
    <m/>
    <m/>
    <m/>
    <m/>
    <x v="0"/>
    <m/>
    <m/>
    <m/>
    <m/>
    <m/>
    <m/>
  </r>
  <r>
    <x v="65"/>
    <x v="2"/>
    <s v="https://sports.ndtv.com/cricket/players/107051-kc-cariappa-playerprofile"/>
    <x v="2"/>
    <n v="0.3"/>
    <x v="65"/>
    <s v="April 13, 1994 Bangalore, Karnataka"/>
    <s v="27 Years, 11 Months, 2 Days"/>
    <x v="0"/>
    <x v="0"/>
    <s v="Leg break"/>
    <s v="IPL"/>
    <n v="11"/>
    <n v="5"/>
    <n v="2"/>
    <x v="41"/>
    <x v="45"/>
    <n v="0"/>
    <n v="0"/>
    <n v="0"/>
    <n v="2"/>
    <n v="8"/>
    <n v="114.28"/>
    <n v="3"/>
    <n v="0"/>
    <n v="0"/>
    <n v="0"/>
    <n v="11"/>
    <n v="36"/>
    <n v="0"/>
    <n v="348"/>
    <n v="8"/>
    <x v="34"/>
    <n v="0"/>
    <n v="0"/>
    <n v="43.5"/>
    <n v="9.66"/>
    <n v="27"/>
    <n v="11"/>
  </r>
  <r>
    <x v="66"/>
    <x v="2"/>
    <s v="https://sports.ndtv.com/cricket/players/107535-tejas-baroka-playerprofile"/>
    <x v="2"/>
    <n v="0.2"/>
    <x v="66"/>
    <s v="February 1, 1996 Pondicherry"/>
    <s v="26 Years, 1 Months, 12 Days"/>
    <x v="0"/>
    <x v="0"/>
    <s v="Leg break googly"/>
    <s v="IPL"/>
    <n v="1"/>
    <n v="0"/>
    <n v="0"/>
    <x v="6"/>
    <x v="6"/>
    <n v="0"/>
    <n v="0"/>
    <n v="0"/>
    <n v="0"/>
    <m/>
    <n v="0"/>
    <m/>
    <m/>
    <n v="0"/>
    <n v="0"/>
    <n v="1"/>
    <n v="3.3"/>
    <n v="0"/>
    <n v="33"/>
    <n v="0"/>
    <x v="35"/>
    <n v="0"/>
    <n v="0"/>
    <m/>
    <n v="9.42"/>
    <m/>
    <n v="1"/>
  </r>
  <r>
    <x v="67"/>
    <x v="2"/>
    <s v="https://sports.ndtv.com/cricket/players/108618-kuldip-yadav-playerprofile"/>
    <x v="2"/>
    <n v="0.2"/>
    <x v="67"/>
    <d v="1996-10-15T00:00:00"/>
    <s v="25 Years, 5 Months, 0 Days"/>
    <x v="0"/>
    <x v="1"/>
    <s v="Left-arm medium fast"/>
    <s v="IPL"/>
    <n v="1"/>
    <n v="1"/>
    <n v="1"/>
    <x v="18"/>
    <x v="46"/>
    <n v="0"/>
    <n v="0"/>
    <n v="0"/>
    <n v="0"/>
    <m/>
    <n v="0"/>
    <m/>
    <m/>
    <n v="1"/>
    <n v="0"/>
    <n v="1"/>
    <n v="2"/>
    <n v="0"/>
    <n v="16"/>
    <n v="0"/>
    <x v="36"/>
    <n v="0"/>
    <n v="0"/>
    <m/>
    <n v="8"/>
    <m/>
    <n v="1"/>
  </r>
  <r>
    <x v="68"/>
    <x v="2"/>
    <s v="https://sports.ndtv.com/cricket/players/112648-dhruv-jurel-playerprofile"/>
    <x v="3"/>
    <n v="0.2"/>
    <x v="68"/>
    <s v="January 21, 2001 Agra, Uttar Pradesh"/>
    <s v="21 Years, 1 Months, 22 Days"/>
    <x v="0"/>
    <x v="0"/>
    <m/>
    <m/>
    <m/>
    <m/>
    <m/>
    <x v="6"/>
    <x v="6"/>
    <m/>
    <m/>
    <m/>
    <m/>
    <m/>
    <m/>
    <m/>
    <m/>
    <m/>
    <m/>
    <m/>
    <m/>
    <m/>
    <m/>
    <m/>
    <x v="0"/>
    <m/>
    <m/>
    <m/>
    <m/>
    <m/>
    <m/>
  </r>
  <r>
    <x v="69"/>
    <x v="2"/>
    <s v="https://sports.ndtv.com/cricket/players/110603-kuldeep-sen-playerprofile"/>
    <x v="2"/>
    <n v="0.2"/>
    <x v="69"/>
    <s v="October 22, 1996 Rewa, Madhya Pradesh, India"/>
    <s v="25 Years, 4 Months, 24 Days"/>
    <x v="0"/>
    <x v="0"/>
    <s v="Right-arm fast medium"/>
    <m/>
    <m/>
    <m/>
    <m/>
    <x v="6"/>
    <x v="6"/>
    <m/>
    <m/>
    <m/>
    <m/>
    <m/>
    <m/>
    <m/>
    <m/>
    <m/>
    <m/>
    <m/>
    <m/>
    <m/>
    <m/>
    <m/>
    <x v="0"/>
    <m/>
    <m/>
    <m/>
    <m/>
    <m/>
    <m/>
  </r>
  <r>
    <x v="70"/>
    <x v="2"/>
    <s v="https://sports.ndtv.com/cricket/players/115354-shubham-garhwal-playerprofile"/>
    <x v="1"/>
    <n v="0.2"/>
    <x v="70"/>
    <s v="May 14, 1995 Jodhpur, Rajasthan"/>
    <s v="26 Years, 10 Months, 2 Days"/>
    <x v="0"/>
    <x v="1"/>
    <s v="Slow left-arm orthodox"/>
    <m/>
    <m/>
    <m/>
    <m/>
    <x v="6"/>
    <x v="6"/>
    <m/>
    <m/>
    <m/>
    <m/>
    <m/>
    <m/>
    <m/>
    <m/>
    <m/>
    <m/>
    <m/>
    <m/>
    <m/>
    <m/>
    <m/>
    <x v="0"/>
    <m/>
    <m/>
    <m/>
    <m/>
    <m/>
    <m/>
  </r>
  <r>
    <x v="71"/>
    <x v="2"/>
    <s v="https://sports.ndtv.com/cricket/players/115306-anunay-singh-playerprofile"/>
    <x v="1"/>
    <n v="0.2"/>
    <x v="71"/>
    <s v="January 3, 1993 Vaishali, Bihar"/>
    <s v="29 Years, 2 Months, 12 Days"/>
    <x v="0"/>
    <x v="0"/>
    <s v="Right-arm medium"/>
    <m/>
    <m/>
    <m/>
    <m/>
    <x v="6"/>
    <x v="6"/>
    <m/>
    <m/>
    <m/>
    <m/>
    <m/>
    <m/>
    <m/>
    <m/>
    <m/>
    <m/>
    <m/>
    <m/>
    <m/>
    <m/>
    <m/>
    <x v="0"/>
    <m/>
    <m/>
    <m/>
    <m/>
    <m/>
    <m/>
  </r>
  <r>
    <x v="72"/>
    <x v="3"/>
    <s v="https://sports.ndtv.com/cricket/players/967-virat-kohli-playerprofile"/>
    <x v="0"/>
    <n v="15"/>
    <x v="72"/>
    <s v="November 5, 1988 Delhi"/>
    <s v="33 Years, 4 Months, 10 Days"/>
    <x v="0"/>
    <x v="0"/>
    <s v="Right-arm medium"/>
    <s v="IPL"/>
    <n v="207"/>
    <n v="199"/>
    <n v="31"/>
    <x v="42"/>
    <x v="47"/>
    <n v="5"/>
    <n v="42"/>
    <n v="546"/>
    <n v="210"/>
    <n v="37.39"/>
    <n v="129.94"/>
    <n v="84"/>
    <n v="0"/>
    <n v="6"/>
    <n v="7"/>
    <n v="26"/>
    <n v="41.5"/>
    <n v="0"/>
    <n v="368"/>
    <n v="4"/>
    <x v="37"/>
    <n v="0"/>
    <n v="0"/>
    <n v="92"/>
    <n v="8.7899999999999991"/>
    <n v="62.75"/>
    <n v="26"/>
  </r>
  <r>
    <x v="73"/>
    <x v="3"/>
    <s v="https://sports.ndtv.com/cricket/players/1423-glenn-maxwell-playerprofile"/>
    <x v="1"/>
    <n v="11"/>
    <x v="73"/>
    <s v="October 14, 1988 Kew, Melbourne, Victoria"/>
    <s v="33 Years, 5 Months, 1 Days"/>
    <x v="4"/>
    <x v="0"/>
    <s v="Off break"/>
    <s v="IPL"/>
    <n v="97"/>
    <n v="93"/>
    <n v="13"/>
    <x v="43"/>
    <x v="48"/>
    <n v="0"/>
    <n v="12"/>
    <n v="166"/>
    <n v="112"/>
    <n v="25.22"/>
    <n v="151.84"/>
    <n v="35"/>
    <n v="0"/>
    <n v="12"/>
    <n v="4"/>
    <n v="56"/>
    <n v="107"/>
    <n v="0"/>
    <n v="915"/>
    <n v="22"/>
    <x v="38"/>
    <n v="0"/>
    <n v="0"/>
    <n v="41.59"/>
    <n v="8.5500000000000007"/>
    <n v="29.18"/>
    <n v="56"/>
  </r>
  <r>
    <x v="74"/>
    <x v="3"/>
    <s v="https://sports.ndtv.com/cricket/players/1293-harshal-patel-playerprofile"/>
    <x v="1"/>
    <n v="10.75"/>
    <x v="74"/>
    <s v="November 23, 1990 Sanand, Gujarat"/>
    <s v="31 Years, 3 Months, 22 Days"/>
    <x v="0"/>
    <x v="0"/>
    <s v="Right-arm medium"/>
    <s v="IPL"/>
    <n v="63"/>
    <n v="28"/>
    <n v="11"/>
    <x v="44"/>
    <x v="49"/>
    <n v="0"/>
    <n v="0"/>
    <n v="11"/>
    <n v="11"/>
    <n v="11"/>
    <n v="134.53"/>
    <n v="15"/>
    <n v="0"/>
    <n v="9"/>
    <n v="3"/>
    <n v="61"/>
    <n v="210.4"/>
    <n v="0"/>
    <n v="1808"/>
    <n v="78"/>
    <x v="39"/>
    <n v="6"/>
    <n v="1"/>
    <n v="23.17"/>
    <n v="8.58"/>
    <n v="16.2"/>
    <n v="61"/>
  </r>
  <r>
    <x v="75"/>
    <x v="3"/>
    <s v="https://sports.ndtv.com/cricket/players/107713-wanidu-hasaranga-playerprofile"/>
    <x v="1"/>
    <n v="10.75"/>
    <x v="75"/>
    <s v="July 29, 1997 Galle"/>
    <s v="24 Years, 7 Months, 17 Days"/>
    <x v="5"/>
    <x v="0"/>
    <s v="Leg break"/>
    <s v="IPL"/>
    <n v="2"/>
    <n v="2"/>
    <n v="1"/>
    <x v="45"/>
    <x v="50"/>
    <n v="0"/>
    <n v="0"/>
    <n v="0"/>
    <n v="0"/>
    <n v="1"/>
    <n v="50"/>
    <m/>
    <m/>
    <n v="1"/>
    <n v="0"/>
    <n v="2"/>
    <n v="6"/>
    <n v="0"/>
    <n v="60"/>
    <n v="0"/>
    <x v="40"/>
    <n v="0"/>
    <n v="0"/>
    <m/>
    <n v="10"/>
    <m/>
    <n v="2"/>
  </r>
  <r>
    <x v="76"/>
    <x v="3"/>
    <s v="https://sports.ndtv.com/cricket/players/1040-josh-hazlewood-playerprofile"/>
    <x v="2"/>
    <n v="7.75"/>
    <x v="76"/>
    <s v="January 8, 1991 Tamworth, New South Wales, Australia"/>
    <s v="31 Years, 2 Months, 7 Days"/>
    <x v="4"/>
    <x v="1"/>
    <s v="Right-arm fast medium"/>
    <s v="IPL"/>
    <n v="12"/>
    <n v="0"/>
    <n v="0"/>
    <x v="6"/>
    <x v="6"/>
    <n v="0"/>
    <n v="0"/>
    <n v="0"/>
    <n v="0"/>
    <m/>
    <n v="0"/>
    <n v="1"/>
    <n v="0"/>
    <n v="0"/>
    <n v="0"/>
    <n v="12"/>
    <n v="45"/>
    <n v="0"/>
    <n v="357"/>
    <n v="12"/>
    <x v="41"/>
    <n v="1"/>
    <n v="0"/>
    <n v="29.75"/>
    <n v="7.93"/>
    <n v="22.5"/>
    <n v="12"/>
  </r>
  <r>
    <x v="77"/>
    <x v="3"/>
    <s v="https://sports.ndtv.com/cricket/players/1579-faf-du-plessis-playerprofile"/>
    <x v="0"/>
    <n v="7"/>
    <x v="77"/>
    <s v="July 13, 1984 Pretoria, Transvaal"/>
    <s v="37 Years, 8 Months, 2 Days"/>
    <x v="2"/>
    <x v="0"/>
    <s v="Leg break"/>
    <s v="IPL"/>
    <n v="100"/>
    <n v="93"/>
    <n v="9"/>
    <x v="46"/>
    <x v="51"/>
    <n v="0"/>
    <n v="22"/>
    <n v="265"/>
    <n v="96"/>
    <n v="34.94"/>
    <n v="131.08000000000001"/>
    <n v="66"/>
    <n v="0"/>
    <n v="5"/>
    <n v="9"/>
    <n v="1"/>
    <n v="1"/>
    <n v="0"/>
    <n v="16"/>
    <n v="0"/>
    <x v="42"/>
    <n v="0"/>
    <n v="0"/>
    <m/>
    <n v="16"/>
    <m/>
    <n v="1"/>
  </r>
  <r>
    <x v="78"/>
    <x v="3"/>
    <s v="https://sports.ndtv.com/cricket/players/107503-mohammed-siraj-playerprofile"/>
    <x v="2"/>
    <n v="7"/>
    <x v="78"/>
    <s v="March 13, 1994 Hyderabad"/>
    <s v="28 Years, 0 Months, 2 Days"/>
    <x v="0"/>
    <x v="0"/>
    <s v="Right-arm medium fast"/>
    <s v="IPL"/>
    <n v="50"/>
    <n v="15"/>
    <n v="10"/>
    <x v="47"/>
    <x v="52"/>
    <n v="0"/>
    <n v="0"/>
    <n v="5"/>
    <n v="2"/>
    <n v="13.2"/>
    <n v="86.84"/>
    <n v="16"/>
    <n v="0"/>
    <n v="5"/>
    <n v="1"/>
    <n v="50"/>
    <n v="171.2"/>
    <n v="4"/>
    <n v="1437"/>
    <n v="50"/>
    <x v="43"/>
    <n v="3"/>
    <n v="0"/>
    <n v="28.74"/>
    <n v="8.3800000000000008"/>
    <n v="20.56"/>
    <n v="50"/>
  </r>
  <r>
    <x v="79"/>
    <x v="3"/>
    <s v="https://sports.ndtv.com/cricket/players/666-dinesh-karthik-playerprofile"/>
    <x v="3"/>
    <n v="5.5"/>
    <x v="79"/>
    <s v="June 1, 1985 Chennai, Tamil Nadu"/>
    <s v="36 Years, 9 Months, 14 Days"/>
    <x v="0"/>
    <x v="0"/>
    <s v="Off break"/>
    <m/>
    <n v="213"/>
    <n v="192"/>
    <n v="35"/>
    <x v="48"/>
    <x v="53"/>
    <n v="0"/>
    <n v="19"/>
    <n v="399"/>
    <n v="112"/>
    <n v="25.77"/>
    <n v="129.72"/>
    <n v="123"/>
    <n v="32"/>
    <n v="14"/>
    <n v="12"/>
    <m/>
    <m/>
    <m/>
    <m/>
    <m/>
    <x v="0"/>
    <m/>
    <m/>
    <m/>
    <m/>
    <m/>
    <m/>
  </r>
  <r>
    <x v="80"/>
    <x v="3"/>
    <s v="https://sports.ndtv.com/cricket/players/108579-anuj-rawat-playerprofile"/>
    <x v="3"/>
    <n v="3.4"/>
    <x v="80"/>
    <s v="October 17, 1999 Ram Nagar, Uttarakhand"/>
    <s v="22 Years, 5 Months, -1 Days"/>
    <x v="0"/>
    <x v="1"/>
    <m/>
    <m/>
    <n v="2"/>
    <n v="1"/>
    <n v="0"/>
    <x v="18"/>
    <x v="20"/>
    <n v="0"/>
    <n v="0"/>
    <n v="0"/>
    <n v="0"/>
    <n v="0"/>
    <n v="0"/>
    <n v="3"/>
    <n v="0"/>
    <n v="1"/>
    <n v="0"/>
    <m/>
    <m/>
    <m/>
    <m/>
    <m/>
    <x v="0"/>
    <m/>
    <m/>
    <m/>
    <m/>
    <m/>
    <m/>
  </r>
  <r>
    <x v="81"/>
    <x v="3"/>
    <s v="https://sports.ndtv.com/cricket/players/51351-shahbaz-ahmed-playerprofile"/>
    <x v="1"/>
    <n v="2.4"/>
    <x v="81"/>
    <s v="December 12, 1994 Mewat, Haryana"/>
    <s v="27 Years, 3 Months, 3 Days"/>
    <x v="0"/>
    <x v="1"/>
    <s v="Slow left-arm orthodox"/>
    <s v="IPL"/>
    <n v="13"/>
    <n v="8"/>
    <n v="1"/>
    <x v="49"/>
    <x v="25"/>
    <n v="0"/>
    <n v="0"/>
    <n v="4"/>
    <n v="2"/>
    <n v="8.57"/>
    <n v="111.11"/>
    <n v="5"/>
    <n v="0"/>
    <n v="0"/>
    <n v="0"/>
    <n v="8"/>
    <n v="20"/>
    <n v="0"/>
    <n v="136"/>
    <n v="9"/>
    <x v="44"/>
    <n v="1"/>
    <n v="0"/>
    <n v="15.11"/>
    <n v="6.8"/>
    <n v="13.33"/>
    <n v="8"/>
  </r>
  <r>
    <x v="82"/>
    <x v="3"/>
    <s v="https://sports.ndtv.com/cricket/players/25633-dj-willey-playerprofile"/>
    <x v="1"/>
    <n v="2"/>
    <x v="82"/>
    <s v="February 28, 1990 Northampton"/>
    <s v="32 Years, 0 Months, 15 Days"/>
    <x v="1"/>
    <x v="1"/>
    <s v="Left-arm fast medium"/>
    <s v="IPL"/>
    <n v="3"/>
    <n v="0"/>
    <n v="0"/>
    <x v="6"/>
    <x v="6"/>
    <n v="0"/>
    <n v="0"/>
    <n v="0"/>
    <n v="0"/>
    <m/>
    <n v="0"/>
    <n v="2"/>
    <n v="0"/>
    <n v="0"/>
    <n v="0"/>
    <n v="3"/>
    <n v="10"/>
    <n v="0"/>
    <n v="95"/>
    <n v="2"/>
    <x v="45"/>
    <n v="0"/>
    <n v="0"/>
    <n v="47.5"/>
    <n v="9.5"/>
    <n v="30"/>
    <n v="3"/>
  </r>
  <r>
    <x v="83"/>
    <x v="3"/>
    <s v="https://sports.ndtv.com/cricket/players/110388-sherfane-rutherford-playerprofile"/>
    <x v="1"/>
    <n v="1"/>
    <x v="83"/>
    <d v="1998-08-15T00:00:00"/>
    <s v="23 Years, 7 Months, 0 Days"/>
    <x v="3"/>
    <x v="1"/>
    <s v="Right-arm fast medium"/>
    <s v="IPL"/>
    <n v="7"/>
    <n v="7"/>
    <n v="2"/>
    <x v="50"/>
    <x v="54"/>
    <n v="0"/>
    <n v="0"/>
    <n v="2"/>
    <n v="7"/>
    <n v="14.6"/>
    <n v="135.18"/>
    <n v="5"/>
    <n v="0"/>
    <n v="0"/>
    <n v="0"/>
    <n v="6"/>
    <n v="6.5"/>
    <n v="0"/>
    <n v="59"/>
    <n v="1"/>
    <x v="46"/>
    <n v="0"/>
    <n v="0"/>
    <n v="59"/>
    <n v="8.6300000000000008"/>
    <n v="41"/>
    <n v="6"/>
  </r>
  <r>
    <x v="84"/>
    <x v="3"/>
    <s v="https://sports.ndtv.com/cricket/players/107234-mahipal-lomror-playerprofile"/>
    <x v="1"/>
    <n v="0.95"/>
    <x v="84"/>
    <s v="November 16, 1999 Nagaur, Rajasthan"/>
    <s v="22 Years, 4 Months, 0 Days"/>
    <x v="0"/>
    <x v="1"/>
    <s v="Slow left-arm orthodox"/>
    <s v="IPL"/>
    <n v="11"/>
    <n v="10"/>
    <n v="2"/>
    <x v="51"/>
    <x v="55"/>
    <n v="0"/>
    <n v="0"/>
    <n v="8"/>
    <n v="9"/>
    <n v="22.62"/>
    <n v="119.86"/>
    <n v="1"/>
    <n v="0"/>
    <n v="0"/>
    <n v="0"/>
    <n v="6"/>
    <n v="10"/>
    <n v="0"/>
    <n v="74"/>
    <n v="1"/>
    <x v="47"/>
    <n v="0"/>
    <n v="0"/>
    <n v="74"/>
    <n v="7.4"/>
    <n v="60"/>
    <n v="6"/>
  </r>
  <r>
    <x v="85"/>
    <x v="3"/>
    <s v="https://sports.ndtv.com/cricket/players/113428-finn-allen-playerprofile"/>
    <x v="0"/>
    <n v="0.8"/>
    <x v="85"/>
    <s v="April 22, 1999 Auckland"/>
    <s v="22 Years, 10 Months, 24 Days"/>
    <x v="6"/>
    <x v="0"/>
    <m/>
    <m/>
    <m/>
    <m/>
    <m/>
    <x v="6"/>
    <x v="6"/>
    <m/>
    <m/>
    <m/>
    <m/>
    <m/>
    <m/>
    <m/>
    <m/>
    <m/>
    <m/>
    <m/>
    <m/>
    <m/>
    <m/>
    <m/>
    <x v="0"/>
    <m/>
    <m/>
    <m/>
    <m/>
    <m/>
    <m/>
  </r>
  <r>
    <x v="86"/>
    <x v="3"/>
    <s v="https://sports.ndtv.com/cricket/players/1663-jason-behrendorff-playerprofile"/>
    <x v="2"/>
    <n v="0.75"/>
    <x v="86"/>
    <s v="April 20, 1990 Camden, New South Wales"/>
    <s v="31 Years, 10 Months, 25 Days"/>
    <x v="4"/>
    <x v="0"/>
    <s v="Left-arm fast medium"/>
    <s v="IPL"/>
    <n v="5"/>
    <n v="0"/>
    <n v="0"/>
    <x v="6"/>
    <x v="6"/>
    <n v="0"/>
    <n v="0"/>
    <n v="0"/>
    <n v="0"/>
    <m/>
    <n v="0"/>
    <m/>
    <m/>
    <n v="0"/>
    <n v="0"/>
    <n v="5"/>
    <n v="19"/>
    <n v="0"/>
    <n v="165"/>
    <n v="5"/>
    <x v="48"/>
    <n v="0"/>
    <n v="0"/>
    <n v="33"/>
    <n v="8.68"/>
    <n v="22.8"/>
    <n v="5"/>
  </r>
  <r>
    <x v="87"/>
    <x v="3"/>
    <s v="https://sports.ndtv.com/cricket/players/1699-siddarth-kaul-playerprofile"/>
    <x v="2"/>
    <n v="0.75"/>
    <x v="87"/>
    <s v="May 19, 1990 Pathankot, Punjab"/>
    <s v="31 Years, 9 Months, 27 Days"/>
    <x v="0"/>
    <x v="0"/>
    <s v="Right-arm medium"/>
    <s v="IPL"/>
    <n v="54"/>
    <n v="12"/>
    <n v="8"/>
    <x v="52"/>
    <x v="56"/>
    <n v="0"/>
    <n v="0"/>
    <n v="1"/>
    <n v="0"/>
    <n v="5"/>
    <n v="55.55"/>
    <n v="8"/>
    <n v="0"/>
    <n v="6"/>
    <n v="2"/>
    <n v="54"/>
    <n v="197.3"/>
    <n v="3"/>
    <n v="1696"/>
    <n v="58"/>
    <x v="49"/>
    <n v="3"/>
    <n v="0"/>
    <n v="29.24"/>
    <n v="8.58"/>
    <n v="20.43"/>
    <n v="54"/>
  </r>
  <r>
    <x v="88"/>
    <x v="3"/>
    <s v="https://sports.ndtv.com/cricket/players/1245-karan-sharma-playerprofile"/>
    <x v="2"/>
    <n v="0.5"/>
    <x v="88"/>
    <s v="October 23, 1987 Meerut, Uttar Pradesh"/>
    <s v="34 Years, 4 Months, 24 Days"/>
    <x v="0"/>
    <x v="1"/>
    <s v="Leg break googly"/>
    <s v="IPL"/>
    <n v="68"/>
    <n v="35"/>
    <n v="14"/>
    <x v="53"/>
    <x v="57"/>
    <n v="0"/>
    <n v="0"/>
    <n v="18"/>
    <n v="14"/>
    <n v="15.09"/>
    <n v="115.69"/>
    <n v="14"/>
    <n v="0"/>
    <n v="2"/>
    <n v="3"/>
    <n v="66"/>
    <n v="203.4"/>
    <n v="1"/>
    <n v="1610"/>
    <n v="59"/>
    <x v="50"/>
    <n v="2"/>
    <n v="0"/>
    <n v="27.28"/>
    <n v="7.9"/>
    <n v="20.71"/>
    <n v="66"/>
  </r>
  <r>
    <x v="89"/>
    <x v="3"/>
    <s v="https://sports.ndtv.com/cricket/players/110587-suyash-prabhudessai-playerprofile"/>
    <x v="1"/>
    <n v="0.3"/>
    <x v="89"/>
    <d v="1997-12-06T00:00:00"/>
    <s v="24 Years, 3 Months, 9 Days"/>
    <x v="0"/>
    <x v="0"/>
    <s v="Right-arm medium"/>
    <m/>
    <m/>
    <m/>
    <m/>
    <x v="6"/>
    <x v="6"/>
    <m/>
    <m/>
    <m/>
    <m/>
    <m/>
    <m/>
    <m/>
    <m/>
    <m/>
    <m/>
    <m/>
    <m/>
    <m/>
    <m/>
    <m/>
    <x v="0"/>
    <m/>
    <m/>
    <m/>
    <m/>
    <m/>
    <m/>
  </r>
  <r>
    <x v="90"/>
    <x v="3"/>
    <s v="https://sports.ndtv.com/cricket/players/64116-chama-v-milind-playerprofile"/>
    <x v="2"/>
    <n v="0.25"/>
    <x v="62"/>
    <m/>
    <m/>
    <x v="8"/>
    <x v="2"/>
    <m/>
    <m/>
    <m/>
    <m/>
    <m/>
    <x v="6"/>
    <x v="6"/>
    <m/>
    <m/>
    <m/>
    <m/>
    <m/>
    <m/>
    <m/>
    <m/>
    <m/>
    <m/>
    <m/>
    <m/>
    <m/>
    <m/>
    <m/>
    <x v="0"/>
    <m/>
    <m/>
    <m/>
    <m/>
    <m/>
    <m/>
  </r>
  <r>
    <x v="91"/>
    <x v="3"/>
    <s v="https://sports.ndtv.com/cricket/players/114974-aneeshwar-gautam-playerprofile"/>
    <x v="1"/>
    <n v="0.2"/>
    <x v="90"/>
    <s v="January 16, 2003 Bengaluru, Karnataka"/>
    <s v="19 Years, 2 Months, -1 Days"/>
    <x v="0"/>
    <x v="1"/>
    <s v="Slow left-arm orthodox"/>
    <m/>
    <m/>
    <m/>
    <m/>
    <x v="6"/>
    <x v="6"/>
    <m/>
    <m/>
    <m/>
    <m/>
    <m/>
    <m/>
    <m/>
    <m/>
    <m/>
    <m/>
    <m/>
    <m/>
    <m/>
    <m/>
    <m/>
    <x v="0"/>
    <m/>
    <m/>
    <m/>
    <m/>
    <m/>
    <m/>
  </r>
  <r>
    <x v="92"/>
    <x v="3"/>
    <s v="https://sports.ndtv.com/cricket/players/113443-akash-deep-playerprofile"/>
    <x v="2"/>
    <n v="0.2"/>
    <x v="91"/>
    <s v="December 15, 1996 Dehri, (Rotas), Bihar"/>
    <s v="25 Years, 3 Months, 0 Days"/>
    <x v="0"/>
    <x v="0"/>
    <s v="Right-arm medium"/>
    <m/>
    <m/>
    <m/>
    <m/>
    <x v="6"/>
    <x v="6"/>
    <m/>
    <m/>
    <m/>
    <m/>
    <m/>
    <m/>
    <m/>
    <m/>
    <m/>
    <m/>
    <m/>
    <m/>
    <m/>
    <m/>
    <m/>
    <x v="0"/>
    <m/>
    <m/>
    <m/>
    <m/>
    <m/>
    <m/>
  </r>
  <r>
    <x v="93"/>
    <x v="3"/>
    <s v="https://sports.ndtv.com/cricket/players/115304-luvnith-sisodia-playerprofile"/>
    <x v="3"/>
    <n v="0.2"/>
    <x v="92"/>
    <s v="January 15, 2000 Bangalore, Karnataka"/>
    <s v="22 Years, 2 Months, 1 Days"/>
    <x v="0"/>
    <x v="1"/>
    <s v="Left-arm medium"/>
    <m/>
    <m/>
    <m/>
    <m/>
    <x v="6"/>
    <x v="6"/>
    <m/>
    <m/>
    <m/>
    <m/>
    <m/>
    <m/>
    <m/>
    <m/>
    <m/>
    <m/>
    <m/>
    <m/>
    <m/>
    <m/>
    <m/>
    <x v="0"/>
    <m/>
    <m/>
    <m/>
    <m/>
    <m/>
    <m/>
  </r>
  <r>
    <x v="94"/>
    <x v="4"/>
    <s v="https://sports.ndtv.com/cricket/players/857-rohit-sharma-playerprofile"/>
    <x v="0"/>
    <n v="16"/>
    <x v="93"/>
    <s v="April 30, 1987 Bansod, Nagpur, Maharashtra"/>
    <s v="34 Years, 10 Months, 16 Days"/>
    <x v="0"/>
    <x v="0"/>
    <s v="Off break"/>
    <s v="IPL"/>
    <n v="213"/>
    <n v="208"/>
    <n v="28"/>
    <x v="54"/>
    <x v="58"/>
    <n v="1"/>
    <n v="40"/>
    <n v="491"/>
    <n v="227"/>
    <n v="31.17"/>
    <n v="130.38999999999999"/>
    <n v="90"/>
    <n v="0"/>
    <n v="13"/>
    <n v="11"/>
    <n v="32"/>
    <n v="56.3"/>
    <n v="0"/>
    <n v="453"/>
    <n v="15"/>
    <x v="51"/>
    <n v="1"/>
    <n v="0"/>
    <n v="30.2"/>
    <n v="8.01"/>
    <n v="22.6"/>
    <n v="32"/>
  </r>
  <r>
    <x v="95"/>
    <x v="4"/>
    <s v="https://sports.ndtv.com/cricket/players/107047-ishan-kishan-playerprofile"/>
    <x v="3"/>
    <n v="15.25"/>
    <x v="94"/>
    <s v="July 18, 1998 Patna, Bihar"/>
    <s v="23 Years, 7 Months, 28 Days"/>
    <x v="0"/>
    <x v="1"/>
    <s v="Left-arm medium"/>
    <m/>
    <n v="61"/>
    <n v="56"/>
    <n v="5"/>
    <x v="55"/>
    <x v="59"/>
    <n v="0"/>
    <n v="9"/>
    <n v="121"/>
    <n v="74"/>
    <n v="28.47"/>
    <n v="136.33000000000001"/>
    <n v="19"/>
    <n v="2"/>
    <n v="5"/>
    <n v="5"/>
    <m/>
    <m/>
    <m/>
    <m/>
    <m/>
    <x v="0"/>
    <m/>
    <m/>
    <m/>
    <m/>
    <m/>
    <m/>
  </r>
  <r>
    <x v="96"/>
    <x v="4"/>
    <s v="https://sports.ndtv.com/cricket/players/1724-jasprit-bumrah-playerprofile"/>
    <x v="2"/>
    <n v="12"/>
    <x v="95"/>
    <s v="December 6, 1993 Ahmedabad"/>
    <s v="28 Years, 3 Months, 9 Days"/>
    <x v="0"/>
    <x v="0"/>
    <s v="Right-arm fast"/>
    <s v="IPL"/>
    <n v="106"/>
    <n v="20"/>
    <n v="15"/>
    <x v="56"/>
    <x v="60"/>
    <n v="0"/>
    <n v="0"/>
    <n v="4"/>
    <n v="1"/>
    <n v="11.2"/>
    <n v="96.55"/>
    <n v="13"/>
    <n v="0"/>
    <n v="7"/>
    <n v="1"/>
    <n v="106"/>
    <n v="403.4"/>
    <n v="5"/>
    <n v="2997"/>
    <n v="130"/>
    <x v="52"/>
    <n v="14"/>
    <n v="0"/>
    <n v="23.05"/>
    <n v="7.42"/>
    <n v="18.63"/>
    <n v="106"/>
  </r>
  <r>
    <x v="97"/>
    <x v="4"/>
    <s v="https://sports.ndtv.com/cricket/players/111686-tim-david-playerprofile"/>
    <x v="1"/>
    <n v="8.25"/>
    <x v="96"/>
    <d v="1996-03-16T00:00:00"/>
    <s v="26 Years, 0 Months, -1 Days"/>
    <x v="9"/>
    <x v="0"/>
    <s v="Off break"/>
    <m/>
    <n v="1"/>
    <n v="1"/>
    <n v="0"/>
    <x v="45"/>
    <x v="61"/>
    <n v="0"/>
    <n v="0"/>
    <n v="0"/>
    <n v="0"/>
    <n v="1"/>
    <n v="33.33"/>
    <m/>
    <m/>
    <n v="0"/>
    <n v="0"/>
    <m/>
    <m/>
    <m/>
    <m/>
    <m/>
    <x v="0"/>
    <m/>
    <m/>
    <m/>
    <m/>
    <m/>
    <m/>
  </r>
  <r>
    <x v="98"/>
    <x v="4"/>
    <s v="https://sports.ndtv.com/cricket/players/64664-jofra-archer-playerprofile"/>
    <x v="1"/>
    <n v="8"/>
    <x v="97"/>
    <s v="April 1, 1995 Bridgetown, Barbados"/>
    <s v="26 Years, 11 Months, 15 Days"/>
    <x v="1"/>
    <x v="0"/>
    <s v="Right-arm fast"/>
    <s v="IPL"/>
    <n v="35"/>
    <n v="23"/>
    <n v="10"/>
    <x v="57"/>
    <x v="62"/>
    <n v="0"/>
    <n v="0"/>
    <n v="11"/>
    <n v="14"/>
    <n v="15"/>
    <n v="157.25"/>
    <n v="9"/>
    <n v="0"/>
    <n v="5"/>
    <n v="1"/>
    <n v="35"/>
    <n v="137.30000000000001"/>
    <n v="2"/>
    <n v="981"/>
    <n v="46"/>
    <x v="53"/>
    <n v="6"/>
    <n v="0"/>
    <n v="21.32"/>
    <n v="7.13"/>
    <n v="17.93"/>
    <n v="35"/>
  </r>
  <r>
    <x v="99"/>
    <x v="4"/>
    <s v="https://sports.ndtv.com/cricket/players/1492-suryakumar-yadav-playerprofile"/>
    <x v="0"/>
    <n v="8"/>
    <x v="98"/>
    <s v="September 14, 1990 Mumbai, Maharashtra"/>
    <s v="31 Years, 6 Months, 1 Days"/>
    <x v="0"/>
    <x v="0"/>
    <s v="Right-arm medium"/>
    <s v="IPL"/>
    <n v="115"/>
    <n v="100"/>
    <n v="19"/>
    <x v="58"/>
    <x v="63"/>
    <n v="0"/>
    <n v="13"/>
    <n v="261"/>
    <n v="68"/>
    <n v="28.9"/>
    <n v="135.71"/>
    <n v="55"/>
    <n v="0"/>
    <n v="7"/>
    <n v="5"/>
    <n v="1"/>
    <n v="1"/>
    <n v="0"/>
    <n v="8"/>
    <n v="0"/>
    <x v="54"/>
    <n v="0"/>
    <n v="0"/>
    <m/>
    <n v="8"/>
    <m/>
    <n v="1"/>
  </r>
  <r>
    <x v="100"/>
    <x v="4"/>
    <s v="https://sports.ndtv.com/cricket/players/907-kieron-pollard-playerprofile"/>
    <x v="1"/>
    <n v="6"/>
    <x v="99"/>
    <s v="May 12, 1987 Tacarigua, Trinidad"/>
    <s v="34 Years, 10 Months, 4 Days"/>
    <x v="3"/>
    <x v="0"/>
    <s v="Right-arm medium"/>
    <s v="IPL"/>
    <n v="178"/>
    <n v="160"/>
    <n v="51"/>
    <x v="59"/>
    <x v="64"/>
    <n v="0"/>
    <n v="16"/>
    <n v="212"/>
    <n v="214"/>
    <n v="29.98"/>
    <n v="149.77000000000001"/>
    <n v="96"/>
    <n v="0"/>
    <n v="8"/>
    <n v="4"/>
    <n v="101"/>
    <n v="234"/>
    <n v="0"/>
    <n v="2055"/>
    <n v="65"/>
    <x v="55"/>
    <n v="2"/>
    <n v="0"/>
    <n v="31.61"/>
    <n v="8.7799999999999994"/>
    <n v="21.6"/>
    <n v="101"/>
  </r>
  <r>
    <x v="101"/>
    <x v="4"/>
    <s v="https://sports.ndtv.com/cricket/players/115001-dewald-brevis-playerprofile"/>
    <x v="0"/>
    <n v="3"/>
    <x v="100"/>
    <s v="April 29, 2003 Johannesburg"/>
    <s v="18 Years, 10 Months, 17 Days"/>
    <x v="2"/>
    <x v="0"/>
    <s v="Leg break"/>
    <m/>
    <m/>
    <m/>
    <m/>
    <x v="6"/>
    <x v="6"/>
    <m/>
    <m/>
    <m/>
    <m/>
    <m/>
    <m/>
    <m/>
    <m/>
    <m/>
    <m/>
    <m/>
    <m/>
    <m/>
    <m/>
    <m/>
    <x v="0"/>
    <m/>
    <m/>
    <m/>
    <m/>
    <m/>
    <m/>
  </r>
  <r>
    <x v="102"/>
    <x v="4"/>
    <s v="https://sports.ndtv.com/cricket/players/113155-daniel-sams-playerprofile"/>
    <x v="1"/>
    <n v="2.6"/>
    <x v="101"/>
    <s v="October 27, 1992 Milperra, New South Wales"/>
    <s v="29 Years, 4 Months, 19 Days"/>
    <x v="4"/>
    <x v="0"/>
    <s v="Left-arm fast medium"/>
    <s v="IPL"/>
    <n v="5"/>
    <n v="3"/>
    <n v="1"/>
    <x v="21"/>
    <x v="65"/>
    <n v="0"/>
    <n v="0"/>
    <n v="0"/>
    <n v="0"/>
    <n v="3"/>
    <n v="75"/>
    <n v="3"/>
    <n v="0"/>
    <n v="1"/>
    <n v="0"/>
    <n v="5"/>
    <n v="18"/>
    <n v="0"/>
    <n v="153"/>
    <n v="1"/>
    <x v="56"/>
    <n v="0"/>
    <n v="0"/>
    <n v="153"/>
    <n v="8.5"/>
    <n v="108"/>
    <n v="5"/>
  </r>
  <r>
    <x v="103"/>
    <x v="4"/>
    <s v="https://sports.ndtv.com/cricket/players/112645-tilak-varma-playerprofile"/>
    <x v="1"/>
    <n v="1.7"/>
    <x v="102"/>
    <s v="November 8, 2002 Hyderabad, Andhra Pradesh"/>
    <s v="19 Years, 4 Months, 7 Days"/>
    <x v="0"/>
    <x v="1"/>
    <s v="Off break"/>
    <m/>
    <m/>
    <m/>
    <m/>
    <x v="6"/>
    <x v="6"/>
    <m/>
    <m/>
    <m/>
    <m/>
    <m/>
    <m/>
    <m/>
    <m/>
    <m/>
    <m/>
    <m/>
    <m/>
    <m/>
    <m/>
    <m/>
    <x v="0"/>
    <m/>
    <m/>
    <m/>
    <m/>
    <m/>
    <m/>
  </r>
  <r>
    <x v="104"/>
    <x v="4"/>
    <s v="https://sports.ndtv.com/cricket/players/63773-murugan-ashwin-playerprofile"/>
    <x v="2"/>
    <n v="1.6"/>
    <x v="103"/>
    <s v="September 8, 1990 Chennai, Tamil Nadu"/>
    <s v="31 Years, 6 Months, 7 Days"/>
    <x v="0"/>
    <x v="0"/>
    <s v="Leg break googly"/>
    <s v="IPL"/>
    <n v="34"/>
    <n v="8"/>
    <n v="2"/>
    <x v="60"/>
    <x v="66"/>
    <n v="0"/>
    <n v="0"/>
    <n v="1"/>
    <n v="0"/>
    <n v="3.83"/>
    <n v="63.88"/>
    <n v="7"/>
    <n v="0"/>
    <n v="1"/>
    <n v="1"/>
    <n v="34"/>
    <n v="112"/>
    <n v="0"/>
    <n v="881"/>
    <n v="26"/>
    <x v="57"/>
    <n v="2"/>
    <n v="0"/>
    <n v="33.880000000000003"/>
    <n v="7.86"/>
    <n v="25.84"/>
    <n v="34"/>
  </r>
  <r>
    <x v="105"/>
    <x v="4"/>
    <s v="https://sports.ndtv.com/cricket/players/51462-tymal-solomon-mills-playerprofile"/>
    <x v="2"/>
    <n v="1.5"/>
    <x v="104"/>
    <s v="August 12, 1992 Dewsbury, Yorkshire"/>
    <s v="29 Years, 7 Months, 3 Days"/>
    <x v="1"/>
    <x v="0"/>
    <s v="Left-arm fast"/>
    <s v="IPL"/>
    <n v="5"/>
    <n v="3"/>
    <n v="0"/>
    <x v="61"/>
    <x v="67"/>
    <n v="0"/>
    <n v="0"/>
    <n v="0"/>
    <n v="1"/>
    <n v="2.66"/>
    <n v="72.72"/>
    <n v="1"/>
    <n v="0"/>
    <n v="1"/>
    <n v="0"/>
    <n v="5"/>
    <n v="17.5"/>
    <n v="0"/>
    <n v="153"/>
    <n v="5"/>
    <x v="58"/>
    <n v="0"/>
    <n v="0"/>
    <n v="30.6"/>
    <n v="8.57"/>
    <n v="21.4"/>
    <n v="5"/>
  </r>
  <r>
    <x v="106"/>
    <x v="4"/>
    <s v="https://sports.ndtv.com/cricket/players/1298-jaydev-unadkat-playerprofile"/>
    <x v="2"/>
    <n v="1.3"/>
    <x v="105"/>
    <s v="October 18, 1991 Porbandar"/>
    <s v="30 Years, 4 Months, 29 Days"/>
    <x v="0"/>
    <x v="0"/>
    <s v="Left-arm medium"/>
    <s v="IPL"/>
    <n v="86"/>
    <n v="21"/>
    <n v="12"/>
    <x v="62"/>
    <x v="68"/>
    <n v="0"/>
    <n v="0"/>
    <n v="9"/>
    <n v="3"/>
    <n v="11.66"/>
    <n v="109.37"/>
    <n v="24"/>
    <n v="0"/>
    <n v="8"/>
    <n v="1"/>
    <n v="85"/>
    <n v="296"/>
    <n v="3"/>
    <n v="2588"/>
    <n v="85"/>
    <x v="59"/>
    <n v="5"/>
    <n v="2"/>
    <n v="30.44"/>
    <n v="8.74"/>
    <n v="20.89"/>
    <n v="85"/>
  </r>
  <r>
    <x v="107"/>
    <x v="4"/>
    <s v="https://sports.ndtv.com/cricket/players/113157-riley-meredith-playerprofile"/>
    <x v="2"/>
    <n v="1"/>
    <x v="106"/>
    <s v="June 21, 1996 Hobart, Tasmania"/>
    <s v="25 Years, 8 Months, 24 Days"/>
    <x v="4"/>
    <x v="0"/>
    <s v="Right-arm fast"/>
    <s v="IPL"/>
    <n v="5"/>
    <n v="1"/>
    <n v="1"/>
    <x v="18"/>
    <x v="69"/>
    <n v="0"/>
    <n v="0"/>
    <n v="0"/>
    <n v="0"/>
    <m/>
    <n v="0"/>
    <m/>
    <m/>
    <n v="1"/>
    <n v="0"/>
    <n v="5"/>
    <n v="17"/>
    <n v="0"/>
    <n v="169"/>
    <n v="4"/>
    <x v="60"/>
    <n v="0"/>
    <n v="0"/>
    <n v="42.25"/>
    <n v="9.94"/>
    <n v="25.5"/>
    <n v="5"/>
  </r>
  <r>
    <x v="108"/>
    <x v="4"/>
    <s v="https://sports.ndtv.com/cricket/players/64663-fabian-allen-playerprofile"/>
    <x v="1"/>
    <n v="0.75"/>
    <x v="107"/>
    <s v="May 7, 1995 Kingston, Jamaica"/>
    <s v="26 Years, 10 Months, 9 Days"/>
    <x v="3"/>
    <x v="0"/>
    <s v="Slow left-arm orthodox"/>
    <s v="IPL"/>
    <n v="4"/>
    <n v="3"/>
    <n v="2"/>
    <x v="21"/>
    <x v="67"/>
    <n v="0"/>
    <n v="0"/>
    <n v="0"/>
    <n v="0"/>
    <n v="6"/>
    <n v="50"/>
    <n v="2"/>
    <n v="0"/>
    <n v="2"/>
    <n v="0"/>
    <n v="3"/>
    <n v="11"/>
    <n v="1"/>
    <n v="90"/>
    <n v="1"/>
    <x v="47"/>
    <n v="0"/>
    <n v="0"/>
    <n v="90"/>
    <n v="8.18"/>
    <n v="66"/>
    <n v="3"/>
  </r>
  <r>
    <x v="109"/>
    <x v="4"/>
    <s v="https://sports.ndtv.com/cricket/players/108589-mayank-markande-playerprofile"/>
    <x v="2"/>
    <n v="0.65"/>
    <x v="108"/>
    <s v="November 11, 1997 Bathinda, Punjab"/>
    <s v="24 Years, 4 Months, 4 Days"/>
    <x v="0"/>
    <x v="0"/>
    <s v="Leg break"/>
    <s v="IPL"/>
    <n v="18"/>
    <n v="8"/>
    <n v="5"/>
    <x v="63"/>
    <x v="70"/>
    <n v="0"/>
    <n v="0"/>
    <n v="3"/>
    <n v="0"/>
    <n v="9"/>
    <n v="93.1"/>
    <n v="3"/>
    <n v="0"/>
    <n v="2"/>
    <n v="0"/>
    <n v="18"/>
    <n v="53"/>
    <n v="0"/>
    <n v="453"/>
    <n v="16"/>
    <x v="61"/>
    <n v="1"/>
    <n v="0"/>
    <n v="28.31"/>
    <n v="8.5399999999999991"/>
    <n v="19.87"/>
    <n v="18"/>
  </r>
  <r>
    <x v="110"/>
    <x v="4"/>
    <s v="https://sports.ndtv.com/cricket/players/107487-r-sanjay-yadav-playerprofile"/>
    <x v="1"/>
    <n v="0.5"/>
    <x v="109"/>
    <s v="May 10, 1995 Gorakhpur, Uttar Pradesh"/>
    <s v="26 Years, 10 Months, 6 Days"/>
    <x v="0"/>
    <x v="1"/>
    <s v="Slow left-arm orthodox"/>
    <m/>
    <m/>
    <m/>
    <m/>
    <x v="6"/>
    <x v="6"/>
    <m/>
    <m/>
    <m/>
    <m/>
    <m/>
    <m/>
    <m/>
    <m/>
    <m/>
    <m/>
    <m/>
    <m/>
    <m/>
    <m/>
    <m/>
    <x v="0"/>
    <m/>
    <m/>
    <m/>
    <m/>
    <m/>
    <m/>
  </r>
  <r>
    <x v="111"/>
    <x v="4"/>
    <s v="https://sports.ndtv.com/cricket/players/106722-basil-thampi-playerprofile"/>
    <x v="2"/>
    <n v="0.3"/>
    <x v="110"/>
    <s v="September 11, 1993 Ernakulam, Kerala"/>
    <s v="28 Years, 6 Months, 4 Days"/>
    <x v="0"/>
    <x v="0"/>
    <s v="Right-arm fast medium"/>
    <s v="IPL"/>
    <n v="20"/>
    <n v="8"/>
    <n v="7"/>
    <x v="34"/>
    <x v="71"/>
    <n v="0"/>
    <n v="0"/>
    <n v="1"/>
    <n v="1"/>
    <n v="32"/>
    <n v="91.42"/>
    <n v="4"/>
    <n v="0"/>
    <n v="2"/>
    <n v="0"/>
    <n v="20"/>
    <n v="70.5"/>
    <n v="0"/>
    <n v="694"/>
    <n v="17"/>
    <x v="62"/>
    <n v="1"/>
    <n v="0"/>
    <n v="40.82"/>
    <n v="9.7899999999999991"/>
    <n v="25"/>
    <n v="20"/>
  </r>
  <r>
    <x v="112"/>
    <x v="4"/>
    <s v="https://sports.ndtv.com/cricket/players/106841-arjun-tendulkar-playerprofile"/>
    <x v="1"/>
    <n v="0.3"/>
    <x v="111"/>
    <s v="September 24, 1999 Mumbai"/>
    <s v="22 Years, 5 Months, 22 Days"/>
    <x v="0"/>
    <x v="1"/>
    <s v="Left-arm medium fast"/>
    <m/>
    <m/>
    <m/>
    <m/>
    <x v="6"/>
    <x v="6"/>
    <m/>
    <m/>
    <m/>
    <m/>
    <m/>
    <m/>
    <m/>
    <m/>
    <m/>
    <m/>
    <m/>
    <m/>
    <m/>
    <m/>
    <m/>
    <x v="0"/>
    <m/>
    <m/>
    <m/>
    <m/>
    <m/>
    <m/>
  </r>
  <r>
    <x v="113"/>
    <x v="4"/>
    <s v="https://sports.ndtv.com/cricket/players/108554-ramandeep-singh-playerprofile"/>
    <x v="1"/>
    <n v="0.2"/>
    <x v="112"/>
    <s v="April 13, 1997 Chandigarh"/>
    <s v="24 Years, 11 Months, 2 Days"/>
    <x v="0"/>
    <x v="0"/>
    <s v="Right-arm medium"/>
    <m/>
    <m/>
    <m/>
    <m/>
    <x v="6"/>
    <x v="6"/>
    <m/>
    <m/>
    <m/>
    <m/>
    <m/>
    <m/>
    <m/>
    <m/>
    <m/>
    <m/>
    <m/>
    <m/>
    <m/>
    <m/>
    <m/>
    <x v="0"/>
    <m/>
    <m/>
    <m/>
    <m/>
    <m/>
    <m/>
  </r>
  <r>
    <x v="114"/>
    <x v="4"/>
    <s v="https://sports.ndtv.com/cricket/players/108576-anmolpreet-singh-playerprofile"/>
    <x v="0"/>
    <n v="0.2"/>
    <x v="113"/>
    <s v="March 28, 1998 Patiala, Punjab"/>
    <s v="23 Years, 11 Months, 18 Days"/>
    <x v="0"/>
    <x v="0"/>
    <s v="Off break"/>
    <m/>
    <n v="1"/>
    <n v="1"/>
    <n v="0"/>
    <x v="64"/>
    <x v="72"/>
    <n v="0"/>
    <n v="0"/>
    <n v="2"/>
    <n v="1"/>
    <n v="16"/>
    <n v="114.28"/>
    <m/>
    <m/>
    <n v="0"/>
    <n v="0"/>
    <m/>
    <m/>
    <m/>
    <m/>
    <m/>
    <x v="0"/>
    <m/>
    <m/>
    <m/>
    <m/>
    <m/>
    <m/>
  </r>
  <r>
    <x v="115"/>
    <x v="4"/>
    <s v="https://sports.ndtv.com/cricket/players/110596-aryan-juyal-playerprofile"/>
    <x v="3"/>
    <n v="0.2"/>
    <x v="114"/>
    <s v="November 11, 2001 Moradabad, Uttar Pradesh"/>
    <s v="20 Years, 4 Months, 4 Days"/>
    <x v="0"/>
    <x v="0"/>
    <m/>
    <m/>
    <m/>
    <m/>
    <m/>
    <x v="6"/>
    <x v="6"/>
    <m/>
    <m/>
    <m/>
    <m/>
    <m/>
    <m/>
    <m/>
    <m/>
    <m/>
    <m/>
    <m/>
    <m/>
    <m/>
    <m/>
    <m/>
    <x v="0"/>
    <m/>
    <m/>
    <m/>
    <m/>
    <m/>
    <m/>
  </r>
  <r>
    <x v="116"/>
    <x v="4"/>
    <s v="https://sports.ndtv.com/cricket/players/115342-arshad-khan-playerprofile"/>
    <x v="1"/>
    <n v="0.2"/>
    <x v="115"/>
    <s v="December 20, 1997 Gopalganj"/>
    <s v="24 Years, 2 Months, 26 Days"/>
    <x v="0"/>
    <x v="1"/>
    <s v="Left-arm medium"/>
    <m/>
    <m/>
    <m/>
    <m/>
    <x v="6"/>
    <x v="6"/>
    <m/>
    <m/>
    <m/>
    <m/>
    <m/>
    <m/>
    <m/>
    <m/>
    <m/>
    <m/>
    <m/>
    <m/>
    <m/>
    <m/>
    <m/>
    <x v="0"/>
    <m/>
    <m/>
    <m/>
    <m/>
    <m/>
    <m/>
  </r>
  <r>
    <x v="117"/>
    <x v="4"/>
    <s v="https://sports.ndtv.com/cricket/players/115338-rahul-buddhi-playerprofile"/>
    <x v="0"/>
    <n v="0.2"/>
    <x v="116"/>
    <s v="September 20, 1997 Hyderabad"/>
    <s v="24 Years, 5 Months, 25 Days"/>
    <x v="0"/>
    <x v="1"/>
    <s v="Off break"/>
    <m/>
    <m/>
    <m/>
    <m/>
    <x v="6"/>
    <x v="6"/>
    <m/>
    <m/>
    <m/>
    <m/>
    <m/>
    <m/>
    <m/>
    <m/>
    <m/>
    <m/>
    <m/>
    <m/>
    <m/>
    <m/>
    <m/>
    <x v="0"/>
    <m/>
    <m/>
    <m/>
    <m/>
    <m/>
    <m/>
  </r>
  <r>
    <x v="118"/>
    <x v="4"/>
    <s v="https://sports.ndtv.com/cricket/players/115315-hrithik-shokeen-playerprofile"/>
    <x v="1"/>
    <n v="0.2"/>
    <x v="117"/>
    <s v="August 14, 2000 Delhi"/>
    <s v="21 Years, 7 Months, 1 Days"/>
    <x v="0"/>
    <x v="0"/>
    <s v="Off break"/>
    <m/>
    <m/>
    <m/>
    <m/>
    <x v="6"/>
    <x v="6"/>
    <m/>
    <m/>
    <m/>
    <m/>
    <m/>
    <m/>
    <m/>
    <m/>
    <m/>
    <m/>
    <m/>
    <m/>
    <m/>
    <m/>
    <m/>
    <x v="0"/>
    <m/>
    <m/>
    <m/>
    <m/>
    <m/>
    <m/>
  </r>
  <r>
    <x v="119"/>
    <x v="5"/>
    <s v="https://sports.ndtv.com/cricket/players/855-ravindra-jadeja-playerprofile"/>
    <x v="1"/>
    <n v="16"/>
    <x v="118"/>
    <s v="December 6, 1988 Navagam-Khed, Saurashtra"/>
    <s v="33 Years, 3 Months, 9 Days"/>
    <x v="0"/>
    <x v="1"/>
    <s v="Slow left-arm orthodox"/>
    <s v="IPL"/>
    <n v="200"/>
    <n v="151"/>
    <n v="63"/>
    <x v="65"/>
    <x v="73"/>
    <n v="0"/>
    <n v="2"/>
    <n v="176"/>
    <n v="85"/>
    <n v="27.11"/>
    <n v="128.13999999999999"/>
    <n v="81"/>
    <n v="0"/>
    <n v="10"/>
    <n v="5"/>
    <n v="171"/>
    <n v="501.1"/>
    <n v="2"/>
    <n v="3816"/>
    <n v="127"/>
    <x v="63"/>
    <n v="8"/>
    <n v="1"/>
    <n v="30.04"/>
    <n v="7.61"/>
    <n v="23.67"/>
    <n v="171"/>
  </r>
  <r>
    <x v="120"/>
    <x v="5"/>
    <s v="https://sports.ndtv.com/cricket/players/60022-deepak-lokandersingh-chahar-playerprofile"/>
    <x v="2"/>
    <n v="14"/>
    <x v="119"/>
    <s v="August 7, 1992 Agra, Uttar Pradesh"/>
    <s v="29 Years, 7 Months, 8 Days"/>
    <x v="0"/>
    <x v="0"/>
    <s v="Right-arm medium"/>
    <s v="IPL"/>
    <n v="63"/>
    <n v="12"/>
    <n v="5"/>
    <x v="66"/>
    <x v="74"/>
    <n v="0"/>
    <n v="0"/>
    <n v="2"/>
    <n v="6"/>
    <n v="11.28"/>
    <n v="138.59"/>
    <n v="12"/>
    <n v="0"/>
    <n v="4"/>
    <n v="0"/>
    <n v="63"/>
    <n v="220.4"/>
    <n v="6"/>
    <n v="1722"/>
    <n v="59"/>
    <x v="64"/>
    <n v="3"/>
    <n v="0"/>
    <n v="29.18"/>
    <n v="7.8"/>
    <n v="22.44"/>
    <n v="63"/>
  </r>
  <r>
    <x v="121"/>
    <x v="5"/>
    <s v="https://sports.ndtv.com/cricket/players/700-ms-dhoni-playerprofile"/>
    <x v="3"/>
    <n v="12"/>
    <x v="120"/>
    <s v="July 7, 1981 Ranchi, Bihar (now Jharkhand)"/>
    <s v="40 Years, 8 Months, 8 Days"/>
    <x v="0"/>
    <x v="0"/>
    <s v="Right-arm medium"/>
    <m/>
    <n v="220"/>
    <n v="193"/>
    <n v="73"/>
    <x v="67"/>
    <x v="75"/>
    <n v="0"/>
    <n v="23"/>
    <n v="325"/>
    <n v="219"/>
    <n v="39.549999999999997"/>
    <n v="135.83000000000001"/>
    <n v="126"/>
    <n v="39"/>
    <n v="5"/>
    <n v="9"/>
    <m/>
    <m/>
    <m/>
    <m/>
    <m/>
    <x v="0"/>
    <m/>
    <m/>
    <m/>
    <m/>
    <m/>
    <m/>
  </r>
  <r>
    <x v="122"/>
    <x v="5"/>
    <s v="https://sports.ndtv.com/cricket/players/42413-moeen-munir-ali-playerprofile"/>
    <x v="1"/>
    <n v="8"/>
    <x v="121"/>
    <s v="June 18, 1987 Birmingham, Warwickshire"/>
    <s v="34 Years, 8 Months, 28 Days"/>
    <x v="1"/>
    <x v="1"/>
    <s v="Off break"/>
    <s v="IPL"/>
    <n v="34"/>
    <n v="32"/>
    <n v="3"/>
    <x v="68"/>
    <x v="76"/>
    <n v="0"/>
    <n v="4"/>
    <n v="52"/>
    <n v="42"/>
    <n v="22.96"/>
    <n v="146.37"/>
    <n v="11"/>
    <n v="0"/>
    <n v="4"/>
    <n v="3"/>
    <n v="27"/>
    <n v="68.3"/>
    <n v="0"/>
    <n v="469"/>
    <n v="16"/>
    <x v="65"/>
    <n v="1"/>
    <n v="0"/>
    <n v="29.31"/>
    <n v="6.84"/>
    <n v="25.68"/>
    <n v="27"/>
  </r>
  <r>
    <x v="123"/>
    <x v="5"/>
    <s v="https://sports.ndtv.com/cricket/players/1003-ambati-rayudu-playerprofile"/>
    <x v="3"/>
    <n v="6.75"/>
    <x v="122"/>
    <s v="September 23, 1985 Guntur,Andhra Pradesh"/>
    <s v="36 Years, 5 Months, 22 Days"/>
    <x v="0"/>
    <x v="0"/>
    <s v="Off break"/>
    <m/>
    <n v="175"/>
    <n v="164"/>
    <n v="31"/>
    <x v="69"/>
    <x v="77"/>
    <n v="1"/>
    <n v="21"/>
    <n v="324"/>
    <n v="149"/>
    <n v="29.44"/>
    <n v="127.47"/>
    <n v="58"/>
    <n v="2"/>
    <n v="14"/>
    <n v="14"/>
    <m/>
    <m/>
    <m/>
    <m/>
    <m/>
    <x v="0"/>
    <m/>
    <m/>
    <m/>
    <m/>
    <m/>
    <m/>
  </r>
  <r>
    <x v="124"/>
    <x v="5"/>
    <s v="https://sports.ndtv.com/cricket/players/108591-ruturaj-gaikwad-playerprofile"/>
    <x v="0"/>
    <n v="6"/>
    <x v="123"/>
    <s v="January 31, 1997 Pune, Maharashtra"/>
    <s v="25 Years, 1 Months, 12 Days"/>
    <x v="0"/>
    <x v="0"/>
    <s v="Off break"/>
    <m/>
    <n v="22"/>
    <n v="22"/>
    <n v="4"/>
    <x v="70"/>
    <x v="36"/>
    <n v="1"/>
    <n v="7"/>
    <n v="80"/>
    <n v="29"/>
    <n v="46.61"/>
    <n v="132.12"/>
    <n v="10"/>
    <n v="0"/>
    <n v="2"/>
    <n v="1"/>
    <m/>
    <m/>
    <m/>
    <m/>
    <m/>
    <x v="0"/>
    <m/>
    <m/>
    <m/>
    <m/>
    <m/>
    <m/>
  </r>
  <r>
    <x v="125"/>
    <x v="5"/>
    <s v="https://sports.ndtv.com/cricket/players/626-dwayne-bravo-playerprofile"/>
    <x v="1"/>
    <n v="4.4000000000000004"/>
    <x v="124"/>
    <s v="October 7, 1983 Santa Cruz, Trinidad"/>
    <s v="38 Years, 5 Months, 9 Days"/>
    <x v="3"/>
    <x v="0"/>
    <s v="Right-arm medium"/>
    <s v="IPL"/>
    <n v="151"/>
    <n v="107"/>
    <n v="40"/>
    <x v="71"/>
    <x v="78"/>
    <n v="0"/>
    <n v="5"/>
    <n v="119"/>
    <n v="65"/>
    <n v="22.94"/>
    <n v="130.25"/>
    <n v="77"/>
    <n v="0"/>
    <n v="8"/>
    <n v="2"/>
    <n v="148"/>
    <n v="485.3"/>
    <n v="2"/>
    <n v="4061"/>
    <n v="167"/>
    <x v="66"/>
    <n v="12"/>
    <n v="0"/>
    <n v="24.31"/>
    <n v="8.36"/>
    <n v="17.440000000000001"/>
    <n v="148"/>
  </r>
  <r>
    <x v="126"/>
    <x v="5"/>
    <s v="https://sports.ndtv.com/cricket/players/107521-shivam-dubey-playerprofile"/>
    <x v="1"/>
    <n v="4"/>
    <x v="125"/>
    <s v="June 26, 1993 Mumbai"/>
    <s v="28 Years, 8 Months, 19 Days"/>
    <x v="0"/>
    <x v="1"/>
    <s v="Right-arm medium"/>
    <s v="IPL"/>
    <n v="24"/>
    <n v="22"/>
    <n v="4"/>
    <x v="72"/>
    <x v="79"/>
    <n v="0"/>
    <n v="1"/>
    <n v="24"/>
    <n v="22"/>
    <n v="22.16"/>
    <n v="120.54"/>
    <n v="5"/>
    <n v="0"/>
    <n v="0"/>
    <n v="1"/>
    <n v="11"/>
    <n v="15.4"/>
    <n v="0"/>
    <n v="130"/>
    <n v="4"/>
    <x v="67"/>
    <n v="0"/>
    <n v="0"/>
    <n v="32.5"/>
    <n v="8.2899999999999991"/>
    <n v="23.5"/>
    <n v="11"/>
  </r>
  <r>
    <x v="127"/>
    <x v="5"/>
    <s v="https://sports.ndtv.com/cricket/players/1573-chris-jordan-playerprofile"/>
    <x v="1"/>
    <n v="3.6"/>
    <x v="126"/>
    <s v="October 4, 1988 Barbados"/>
    <s v="33 Years, 5 Months, 11 Days"/>
    <x v="1"/>
    <x v="0"/>
    <s v="Right-arm fast medium"/>
    <s v="IPL"/>
    <n v="24"/>
    <n v="9"/>
    <n v="2"/>
    <x v="73"/>
    <x v="80"/>
    <n v="0"/>
    <n v="0"/>
    <n v="3"/>
    <n v="3"/>
    <n v="9.14"/>
    <n v="112.28"/>
    <n v="9"/>
    <n v="0"/>
    <n v="2"/>
    <n v="2"/>
    <n v="24"/>
    <n v="76.3"/>
    <n v="0"/>
    <n v="698"/>
    <n v="25"/>
    <x v="68"/>
    <n v="2"/>
    <n v="0"/>
    <n v="27.92"/>
    <n v="9.1199999999999992"/>
    <n v="18.36"/>
    <n v="24"/>
  </r>
  <r>
    <x v="128"/>
    <x v="5"/>
    <s v="https://sports.ndtv.com/cricket/players/738-robin-uthappa-playerprofile"/>
    <x v="0"/>
    <n v="2"/>
    <x v="127"/>
    <s v="November 11, 1985 Coorg, Karnataka"/>
    <s v="36 Years, 4 Months, 4 Days"/>
    <x v="0"/>
    <x v="0"/>
    <s v="Right-arm medium"/>
    <m/>
    <n v="193"/>
    <n v="186"/>
    <n v="17"/>
    <x v="74"/>
    <x v="81"/>
    <n v="0"/>
    <n v="25"/>
    <n v="462"/>
    <n v="168"/>
    <n v="27.94"/>
    <n v="130.15"/>
    <n v="87"/>
    <n v="32"/>
    <n v="7"/>
    <n v="9"/>
    <m/>
    <m/>
    <m/>
    <m/>
    <m/>
    <x v="0"/>
    <m/>
    <m/>
    <m/>
    <m/>
    <m/>
    <m/>
  </r>
  <r>
    <x v="129"/>
    <x v="5"/>
    <s v="https://sports.ndtv.com/cricket/players/51086-mitchell-josef-santner-playerprofile"/>
    <x v="1"/>
    <n v="1.9"/>
    <x v="128"/>
    <s v="February 5, 1992 Hamilton"/>
    <s v="30 Years, 1 Months, 8 Days"/>
    <x v="6"/>
    <x v="1"/>
    <s v="Slow left-arm orthodox"/>
    <s v="IPL"/>
    <n v="6"/>
    <n v="2"/>
    <n v="1"/>
    <x v="34"/>
    <x v="82"/>
    <n v="0"/>
    <n v="0"/>
    <n v="0"/>
    <n v="3"/>
    <n v="32"/>
    <n v="139.13"/>
    <n v="2"/>
    <n v="0"/>
    <n v="0"/>
    <n v="0"/>
    <n v="6"/>
    <n v="21"/>
    <n v="0"/>
    <n v="147"/>
    <n v="6"/>
    <x v="69"/>
    <n v="0"/>
    <n v="0"/>
    <n v="24.5"/>
    <n v="7"/>
    <n v="21"/>
    <n v="6"/>
  </r>
  <r>
    <x v="130"/>
    <x v="5"/>
    <s v="https://sports.ndtv.com/cricket/players/1510-adam-milne-playerprofile"/>
    <x v="2"/>
    <n v="1.9"/>
    <x v="129"/>
    <s v="April 13, 1992 Palmerston North"/>
    <s v="29 Years, 11 Months, 2 Days"/>
    <x v="6"/>
    <x v="0"/>
    <s v="Right-arm fast"/>
    <s v="IPL"/>
    <n v="9"/>
    <n v="6"/>
    <n v="2"/>
    <x v="60"/>
    <x v="83"/>
    <n v="0"/>
    <n v="0"/>
    <n v="0"/>
    <n v="1"/>
    <n v="5.75"/>
    <n v="79.31"/>
    <n v="7"/>
    <n v="0"/>
    <n v="2"/>
    <n v="0"/>
    <n v="9"/>
    <n v="32"/>
    <n v="0"/>
    <n v="308"/>
    <n v="7"/>
    <x v="70"/>
    <n v="0"/>
    <n v="0"/>
    <n v="44"/>
    <n v="9.6199999999999992"/>
    <n v="27.42"/>
    <n v="9"/>
  </r>
  <r>
    <x v="131"/>
    <x v="5"/>
    <s v="https://sports.ndtv.com/cricket/players/114985-rajvardhan-hangargekar-playerprofile"/>
    <x v="1"/>
    <n v="1.5"/>
    <x v="130"/>
    <s v="November 10, 2002 Tuljapur, Maharashtra"/>
    <s v="19 Years, 4 Months, 5 Days"/>
    <x v="0"/>
    <x v="0"/>
    <s v="Right-arm medium"/>
    <m/>
    <m/>
    <m/>
    <m/>
    <x v="6"/>
    <x v="6"/>
    <m/>
    <m/>
    <m/>
    <m/>
    <m/>
    <m/>
    <m/>
    <m/>
    <m/>
    <m/>
    <m/>
    <m/>
    <m/>
    <m/>
    <m/>
    <x v="0"/>
    <m/>
    <m/>
    <m/>
    <m/>
    <m/>
    <m/>
  </r>
  <r>
    <x v="132"/>
    <x v="5"/>
    <s v="https://sports.ndtv.com/cricket/players/115325-prashant-solanki-playerprofile"/>
    <x v="2"/>
    <n v="1.2"/>
    <x v="131"/>
    <d v="2000-02-22T00:00:00"/>
    <s v="22 Years, 0 Months, 22 Days"/>
    <x v="0"/>
    <x v="0"/>
    <s v="Leg break"/>
    <m/>
    <m/>
    <m/>
    <m/>
    <x v="6"/>
    <x v="6"/>
    <m/>
    <m/>
    <m/>
    <m/>
    <m/>
    <m/>
    <m/>
    <m/>
    <m/>
    <m/>
    <m/>
    <m/>
    <m/>
    <m/>
    <m/>
    <x v="0"/>
    <m/>
    <m/>
    <m/>
    <m/>
    <m/>
    <m/>
  </r>
  <r>
    <x v="133"/>
    <x v="5"/>
    <s v="https://sports.ndtv.com/cricket/players/45400-devon-philip-conway-playerprofile"/>
    <x v="0"/>
    <n v="1"/>
    <x v="132"/>
    <s v="July 8, 1991 Johannesburg, Transvaal"/>
    <s v="30 Years, 8 Months, 8 Days"/>
    <x v="2"/>
    <x v="1"/>
    <s v="Right-arm medium"/>
    <m/>
    <m/>
    <m/>
    <m/>
    <x v="6"/>
    <x v="6"/>
    <m/>
    <m/>
    <m/>
    <m/>
    <m/>
    <m/>
    <m/>
    <m/>
    <m/>
    <m/>
    <m/>
    <m/>
    <m/>
    <m/>
    <m/>
    <x v="0"/>
    <m/>
    <m/>
    <m/>
    <m/>
    <m/>
    <m/>
  </r>
  <r>
    <x v="134"/>
    <x v="5"/>
    <s v="https://sports.ndtv.com/cricket/players/113459-maheesh-theekshana-playerprofile"/>
    <x v="2"/>
    <n v="0.7"/>
    <x v="133"/>
    <s v="August 1, 2000 Colombo"/>
    <s v="21 Years, 7 Months, 14 Days"/>
    <x v="5"/>
    <x v="0"/>
    <s v="Off break"/>
    <m/>
    <m/>
    <m/>
    <m/>
    <x v="6"/>
    <x v="6"/>
    <m/>
    <m/>
    <m/>
    <m/>
    <m/>
    <m/>
    <m/>
    <m/>
    <m/>
    <m/>
    <m/>
    <m/>
    <m/>
    <m/>
    <m/>
    <x v="0"/>
    <m/>
    <m/>
    <m/>
    <m/>
    <m/>
    <m/>
  </r>
  <r>
    <x v="135"/>
    <x v="5"/>
    <s v="https://sports.ndtv.com/cricket/players/1603-dwaine-pretorius-playerprofile"/>
    <x v="1"/>
    <n v="0.5"/>
    <x v="62"/>
    <m/>
    <m/>
    <x v="8"/>
    <x v="2"/>
    <m/>
    <m/>
    <m/>
    <m/>
    <m/>
    <x v="6"/>
    <x v="6"/>
    <m/>
    <m/>
    <m/>
    <m/>
    <m/>
    <m/>
    <m/>
    <m/>
    <m/>
    <m/>
    <m/>
    <m/>
    <m/>
    <m/>
    <m/>
    <x v="0"/>
    <m/>
    <m/>
    <m/>
    <m/>
    <m/>
    <m/>
  </r>
  <r>
    <x v="136"/>
    <x v="5"/>
    <s v="https://sports.ndtv.com/cricket/players/108567-narayan-jagadeesan-playerprofile"/>
    <x v="3"/>
    <n v="0.2"/>
    <x v="134"/>
    <s v="December 24, 1995 Coimbatore, Tamil Nadu"/>
    <s v="26 Years, 2 Months, 23 Days"/>
    <x v="0"/>
    <x v="0"/>
    <m/>
    <m/>
    <n v="5"/>
    <n v="2"/>
    <n v="0"/>
    <x v="75"/>
    <x v="84"/>
    <n v="0"/>
    <n v="0"/>
    <n v="4"/>
    <n v="0"/>
    <n v="16.5"/>
    <n v="113.79"/>
    <m/>
    <m/>
    <n v="1"/>
    <n v="1"/>
    <m/>
    <m/>
    <m/>
    <m/>
    <m/>
    <x v="0"/>
    <m/>
    <m/>
    <m/>
    <m/>
    <m/>
    <m/>
  </r>
  <r>
    <x v="137"/>
    <x v="5"/>
    <s v="https://sports.ndtv.com/cricket/players/108603-km-asif-playerprofile"/>
    <x v="2"/>
    <n v="0.2"/>
    <x v="135"/>
    <s v="July 24, 1993 Edavanna,Malappuram"/>
    <s v="28 Years, 7 Months, 22 Days"/>
    <x v="0"/>
    <x v="0"/>
    <s v="Right-arm medium"/>
    <s v="IPL"/>
    <n v="3"/>
    <n v="0"/>
    <n v="0"/>
    <x v="6"/>
    <x v="6"/>
    <n v="0"/>
    <n v="0"/>
    <n v="0"/>
    <n v="0"/>
    <m/>
    <n v="0"/>
    <m/>
    <m/>
    <n v="0"/>
    <n v="0"/>
    <n v="3"/>
    <n v="8.1"/>
    <n v="0"/>
    <n v="93"/>
    <n v="4"/>
    <x v="71"/>
    <n v="0"/>
    <n v="0"/>
    <n v="23.25"/>
    <n v="11.38"/>
    <n v="12.25"/>
    <n v="3"/>
  </r>
  <r>
    <x v="138"/>
    <x v="5"/>
    <s v="https://sports.ndtv.com/cricket/players/107528-tushar-deshpande-playerprofile"/>
    <x v="2"/>
    <n v="0.2"/>
    <x v="136"/>
    <s v="May 15, 1995 Mumbai"/>
    <s v="26 Years, 10 Months, 1 Days"/>
    <x v="0"/>
    <x v="1"/>
    <s v="Right-arm medium"/>
    <s v="IPL"/>
    <n v="5"/>
    <n v="2"/>
    <n v="1"/>
    <x v="76"/>
    <x v="85"/>
    <n v="0"/>
    <n v="0"/>
    <n v="2"/>
    <n v="1"/>
    <n v="21"/>
    <n v="175"/>
    <n v="1"/>
    <n v="0"/>
    <n v="0"/>
    <n v="0"/>
    <n v="5"/>
    <n v="17"/>
    <n v="0"/>
    <n v="192"/>
    <n v="3"/>
    <x v="72"/>
    <n v="0"/>
    <n v="0"/>
    <n v="64"/>
    <n v="11.29"/>
    <n v="34"/>
    <n v="5"/>
  </r>
  <r>
    <x v="139"/>
    <x v="5"/>
    <s v="https://sports.ndtv.com/cricket/players/113463-subhranshu-senapati-playerprofile"/>
    <x v="0"/>
    <n v="0.2"/>
    <x v="137"/>
    <s v="December 30, 1996 Keonijhar, Orissa"/>
    <s v="25 Years, 2 Months, 16 Days"/>
    <x v="0"/>
    <x v="0"/>
    <s v="Right-arm medium"/>
    <m/>
    <m/>
    <m/>
    <m/>
    <x v="6"/>
    <x v="6"/>
    <m/>
    <m/>
    <m/>
    <m/>
    <m/>
    <m/>
    <m/>
    <m/>
    <m/>
    <m/>
    <m/>
    <m/>
    <m/>
    <m/>
    <m/>
    <x v="0"/>
    <m/>
    <m/>
    <m/>
    <m/>
    <m/>
    <m/>
  </r>
  <r>
    <x v="140"/>
    <x v="5"/>
    <s v="https://sports.ndtv.com/cricket/players/113485-k-bhagath-varma-playerprofile"/>
    <x v="1"/>
    <n v="0.2"/>
    <x v="138"/>
    <s v="September 21, 1998 Hyderabad, Andrha Pradesh"/>
    <s v="23 Years, 5 Months, 24 Days"/>
    <x v="0"/>
    <x v="0"/>
    <s v="Off break"/>
    <m/>
    <m/>
    <m/>
    <m/>
    <x v="6"/>
    <x v="6"/>
    <m/>
    <m/>
    <m/>
    <m/>
    <m/>
    <m/>
    <m/>
    <m/>
    <m/>
    <m/>
    <m/>
    <m/>
    <m/>
    <m/>
    <m/>
    <x v="0"/>
    <m/>
    <m/>
    <m/>
    <m/>
    <m/>
    <m/>
  </r>
  <r>
    <x v="141"/>
    <x v="5"/>
    <s v="https://sports.ndtv.com/cricket/players/113456-simarjeet-singh-playerprofile"/>
    <x v="2"/>
    <n v="0.2"/>
    <x v="139"/>
    <s v="January 17, 1998 Delhi"/>
    <s v="24 Years, 1 Months, 26 Days"/>
    <x v="0"/>
    <x v="0"/>
    <s v="Right-arm fast medium"/>
    <m/>
    <m/>
    <m/>
    <m/>
    <x v="6"/>
    <x v="6"/>
    <m/>
    <m/>
    <m/>
    <m/>
    <m/>
    <m/>
    <m/>
    <m/>
    <m/>
    <m/>
    <m/>
    <m/>
    <m/>
    <m/>
    <m/>
    <x v="0"/>
    <m/>
    <m/>
    <m/>
    <m/>
    <m/>
    <m/>
  </r>
  <r>
    <x v="142"/>
    <x v="5"/>
    <s v="https://sports.ndtv.com/cricket/players/113431-c-hari-nishanth-playerprofile"/>
    <x v="0"/>
    <n v="0.2"/>
    <x v="140"/>
    <s v="August 16, 1996 Ooty (now Udagamandalam), Tamil Nadu"/>
    <s v="25 Years, 7 Months, -1 Days"/>
    <x v="0"/>
    <x v="1"/>
    <s v="Off break"/>
    <m/>
    <m/>
    <m/>
    <m/>
    <x v="6"/>
    <x v="6"/>
    <m/>
    <m/>
    <m/>
    <m/>
    <m/>
    <m/>
    <m/>
    <m/>
    <m/>
    <m/>
    <m/>
    <m/>
    <m/>
    <m/>
    <m/>
    <x v="0"/>
    <m/>
    <m/>
    <m/>
    <m/>
    <m/>
    <m/>
  </r>
  <r>
    <x v="143"/>
    <x v="5"/>
    <s v="https://sports.ndtv.com/cricket/players/113453-mukesh-choudhary-playerprofile"/>
    <x v="2"/>
    <n v="0.2"/>
    <x v="141"/>
    <s v="July 6, 1996 Pardodas, Bhilwara, Rajsthan"/>
    <s v="25 Years, 8 Months, 9 Days"/>
    <x v="0"/>
    <x v="1"/>
    <s v="Left-arm fast medium"/>
    <m/>
    <m/>
    <m/>
    <m/>
    <x v="6"/>
    <x v="6"/>
    <m/>
    <m/>
    <m/>
    <m/>
    <m/>
    <m/>
    <m/>
    <m/>
    <m/>
    <m/>
    <m/>
    <m/>
    <m/>
    <m/>
    <m/>
    <x v="0"/>
    <m/>
    <m/>
    <m/>
    <m/>
    <m/>
    <m/>
  </r>
  <r>
    <x v="144"/>
    <x v="6"/>
    <s v="https://sports.ndtv.com/cricket/players/64384-shreyas-santosh-iyer-playerprofile"/>
    <x v="0"/>
    <n v="12.25"/>
    <x v="142"/>
    <s v="December 6, 1994 Mumbai"/>
    <s v="27 Years, 3 Months, 9 Days"/>
    <x v="0"/>
    <x v="0"/>
    <s v="Leg break googly"/>
    <m/>
    <n v="87"/>
    <n v="87"/>
    <n v="12"/>
    <x v="77"/>
    <x v="86"/>
    <n v="0"/>
    <n v="16"/>
    <n v="196"/>
    <n v="88"/>
    <n v="31.66"/>
    <n v="123.95"/>
    <n v="34"/>
    <n v="0"/>
    <n v="6"/>
    <n v="4"/>
    <m/>
    <m/>
    <m/>
    <m/>
    <m/>
    <x v="0"/>
    <m/>
    <m/>
    <m/>
    <m/>
    <m/>
    <m/>
  </r>
  <r>
    <x v="145"/>
    <x v="6"/>
    <s v="https://sports.ndtv.com/cricket/players/1536-andre-russell-playerprofile"/>
    <x v="1"/>
    <n v="12"/>
    <x v="143"/>
    <s v="April 29, 1988 Jamaica"/>
    <s v="33 Years, 10 Months, 16 Days"/>
    <x v="3"/>
    <x v="0"/>
    <s v="Right-arm fast"/>
    <s v="IPL"/>
    <n v="84"/>
    <n v="70"/>
    <n v="12"/>
    <x v="78"/>
    <x v="87"/>
    <n v="0"/>
    <n v="9"/>
    <n v="119"/>
    <n v="143"/>
    <n v="29.31"/>
    <n v="178.57"/>
    <n v="25"/>
    <n v="0"/>
    <n v="3"/>
    <n v="5"/>
    <n v="76"/>
    <n v="210.1"/>
    <n v="0"/>
    <n v="1901"/>
    <n v="72"/>
    <x v="73"/>
    <n v="6"/>
    <n v="1"/>
    <n v="26.4"/>
    <n v="9.0399999999999991"/>
    <n v="17.510000000000002"/>
    <n v="76"/>
  </r>
  <r>
    <x v="146"/>
    <x v="6"/>
    <s v="https://sports.ndtv.com/cricket/players/64080-nitish-rana-playerprofile"/>
    <x v="1"/>
    <n v="8"/>
    <x v="144"/>
    <s v="December 27, 1993 Delhi"/>
    <s v="28 Years, 2 Months, 19 Days"/>
    <x v="0"/>
    <x v="1"/>
    <s v="Off break"/>
    <s v="IPL"/>
    <n v="77"/>
    <n v="71"/>
    <n v="7"/>
    <x v="79"/>
    <x v="88"/>
    <n v="0"/>
    <n v="13"/>
    <n v="161"/>
    <n v="89"/>
    <n v="28.43"/>
    <n v="132.46"/>
    <n v="15"/>
    <n v="0"/>
    <n v="6"/>
    <n v="3"/>
    <n v="16"/>
    <n v="19.100000000000001"/>
    <n v="0"/>
    <n v="154"/>
    <n v="7"/>
    <x v="74"/>
    <n v="0"/>
    <n v="0"/>
    <n v="22"/>
    <n v="8.0299999999999994"/>
    <n v="16.420000000000002"/>
    <n v="16"/>
  </r>
  <r>
    <x v="147"/>
    <x v="6"/>
    <s v="https://sports.ndtv.com/cricket/players/110973-varun-chakravarthy-playerprofile"/>
    <x v="2"/>
    <n v="8"/>
    <x v="145"/>
    <s v="August 29, 1991 Bidar, Karnataka"/>
    <s v="30 Years, 6 Months, 18 Days"/>
    <x v="0"/>
    <x v="0"/>
    <s v="Leg break googly"/>
    <s v="IPL"/>
    <n v="31"/>
    <n v="6"/>
    <n v="3"/>
    <x v="80"/>
    <x v="89"/>
    <n v="0"/>
    <n v="0"/>
    <n v="0"/>
    <n v="0"/>
    <n v="4"/>
    <n v="63.15"/>
    <n v="4"/>
    <n v="0"/>
    <n v="2"/>
    <n v="2"/>
    <n v="31"/>
    <n v="123"/>
    <n v="0"/>
    <n v="839"/>
    <n v="36"/>
    <x v="75"/>
    <n v="1"/>
    <n v="1"/>
    <n v="23.3"/>
    <n v="6.82"/>
    <n v="20.5"/>
    <n v="31"/>
  </r>
  <r>
    <x v="148"/>
    <x v="6"/>
    <s v="https://sports.ndtv.com/cricket/players/110573-venkatesh-iyer-playerprofile"/>
    <x v="1"/>
    <n v="8"/>
    <x v="146"/>
    <s v="December 25, 1994 Indore, Madhya Pradesh"/>
    <s v="27 Years, 2 Months, 21 Days"/>
    <x v="0"/>
    <x v="1"/>
    <s v="Right-arm medium"/>
    <s v="IPL"/>
    <n v="10"/>
    <n v="10"/>
    <n v="1"/>
    <x v="81"/>
    <x v="90"/>
    <n v="0"/>
    <n v="4"/>
    <n v="37"/>
    <n v="14"/>
    <n v="41.11"/>
    <n v="128.47"/>
    <n v="7"/>
    <n v="0"/>
    <n v="0"/>
    <n v="0"/>
    <n v="4"/>
    <n v="8.3000000000000007"/>
    <n v="0"/>
    <n v="69"/>
    <n v="3"/>
    <x v="76"/>
    <n v="0"/>
    <n v="0"/>
    <n v="23"/>
    <n v="8.11"/>
    <n v="17"/>
    <n v="4"/>
  </r>
  <r>
    <x v="149"/>
    <x v="6"/>
    <s v="https://sports.ndtv.com/cricket/players/108563-shivam-mavi-playerprofile"/>
    <x v="1"/>
    <n v="7.25"/>
    <x v="147"/>
    <s v="November 26, 1998 Noida, Uttar Pradesh"/>
    <s v="23 Years, 3 Months, 19 Days"/>
    <x v="0"/>
    <x v="0"/>
    <s v="Right-arm fast medium"/>
    <s v="IPL"/>
    <n v="26"/>
    <n v="9"/>
    <n v="2"/>
    <x v="82"/>
    <x v="91"/>
    <n v="0"/>
    <n v="0"/>
    <n v="4"/>
    <n v="2"/>
    <n v="6.85"/>
    <n v="97.95"/>
    <n v="12"/>
    <n v="0"/>
    <n v="3"/>
    <n v="0"/>
    <n v="26"/>
    <n v="86.1"/>
    <n v="2"/>
    <n v="715"/>
    <n v="25"/>
    <x v="77"/>
    <n v="0"/>
    <n v="0"/>
    <n v="28.6"/>
    <n v="8.2899999999999991"/>
    <n v="20.68"/>
    <n v="26"/>
  </r>
  <r>
    <x v="150"/>
    <x v="6"/>
    <s v="https://sports.ndtv.com/cricket/players/1656-pat-cummins-playerprofile"/>
    <x v="1"/>
    <n v="7.25"/>
    <x v="148"/>
    <s v="May 8, 1993 Westmead, Sydney"/>
    <s v="28 Years, 10 Months, 7 Days"/>
    <x v="4"/>
    <x v="0"/>
    <s v="Right-arm fast"/>
    <s v="IPL"/>
    <n v="37"/>
    <n v="26"/>
    <n v="10"/>
    <x v="83"/>
    <x v="92"/>
    <n v="0"/>
    <n v="2"/>
    <n v="19"/>
    <n v="20"/>
    <n v="19.75"/>
    <n v="140.44"/>
    <n v="7"/>
    <n v="0"/>
    <n v="4"/>
    <n v="0"/>
    <n v="37"/>
    <n v="139"/>
    <n v="1"/>
    <n v="1145"/>
    <n v="38"/>
    <x v="78"/>
    <n v="2"/>
    <n v="0"/>
    <n v="30.13"/>
    <n v="8.23"/>
    <n v="21.94"/>
    <n v="37"/>
  </r>
  <r>
    <x v="151"/>
    <x v="6"/>
    <s v="https://sports.ndtv.com/cricket/players/1456-sunil-narine-playerprofile"/>
    <x v="1"/>
    <n v="6"/>
    <x v="149"/>
    <s v="May 26, 1988 Arima"/>
    <s v="33 Years, 9 Months, 20 Days"/>
    <x v="3"/>
    <x v="1"/>
    <s v="Off break"/>
    <s v="IPL"/>
    <n v="134"/>
    <n v="76"/>
    <n v="15"/>
    <x v="84"/>
    <x v="93"/>
    <n v="0"/>
    <n v="4"/>
    <n v="106"/>
    <n v="57"/>
    <n v="15.63"/>
    <n v="161.69"/>
    <n v="21"/>
    <n v="0"/>
    <n v="13"/>
    <n v="5"/>
    <n v="133"/>
    <n v="520.1"/>
    <n v="3"/>
    <n v="3508"/>
    <n v="143"/>
    <x v="15"/>
    <n v="6"/>
    <n v="1"/>
    <n v="24.53"/>
    <n v="6.74"/>
    <n v="21.82"/>
    <n v="133"/>
  </r>
  <r>
    <x v="152"/>
    <x v="6"/>
    <s v="https://sports.ndtv.com/cricket/players/1258-umesh-yadav-playerprofile"/>
    <x v="2"/>
    <n v="2"/>
    <x v="150"/>
    <s v="October 25, 1987 Nagpur, Maharashtra"/>
    <s v="34 Years, 4 Months, 22 Days"/>
    <x v="0"/>
    <x v="0"/>
    <s v="Right-arm fast"/>
    <s v="IPL"/>
    <n v="121"/>
    <n v="38"/>
    <n v="24"/>
    <x v="85"/>
    <x v="94"/>
    <n v="0"/>
    <n v="0"/>
    <n v="11"/>
    <n v="4"/>
    <n v="8.7100000000000009"/>
    <n v="95.31"/>
    <n v="29"/>
    <n v="0"/>
    <n v="11"/>
    <n v="2"/>
    <n v="120"/>
    <n v="420.2"/>
    <n v="3"/>
    <n v="3579"/>
    <n v="119"/>
    <x v="79"/>
    <n v="12"/>
    <n v="0"/>
    <n v="30.07"/>
    <n v="8.51"/>
    <n v="21.19"/>
    <n v="120"/>
  </r>
  <r>
    <x v="153"/>
    <x v="6"/>
    <s v="https://sports.ndtv.com/cricket/players/51406-samuel-william-billings-playerprofile"/>
    <x v="3"/>
    <n v="2"/>
    <x v="151"/>
    <s v="June 15, 1991 Pembury, Kent"/>
    <s v="30 Years, 9 Months, 1 Days"/>
    <x v="1"/>
    <x v="0"/>
    <m/>
    <m/>
    <n v="22"/>
    <n v="19"/>
    <n v="0"/>
    <x v="86"/>
    <x v="95"/>
    <n v="0"/>
    <n v="3"/>
    <n v="31"/>
    <n v="10"/>
    <n v="17.57"/>
    <n v="133.6"/>
    <n v="13"/>
    <n v="0"/>
    <n v="3"/>
    <n v="1"/>
    <m/>
    <m/>
    <m/>
    <m/>
    <m/>
    <x v="0"/>
    <m/>
    <m/>
    <m/>
    <m/>
    <m/>
    <m/>
  </r>
  <r>
    <x v="154"/>
    <x v="6"/>
    <s v="https://sports.ndtv.com/cricket/players/1032-tim-southee-playerprofile"/>
    <x v="2"/>
    <n v="1.5"/>
    <x v="152"/>
    <s v="December 11, 1988 Whangarei, Northland"/>
    <s v="33 Years, 3 Months, 4 Days"/>
    <x v="6"/>
    <x v="0"/>
    <s v="Right-arm medium fast"/>
    <s v="IPL"/>
    <n v="43"/>
    <n v="15"/>
    <n v="6"/>
    <x v="87"/>
    <x v="49"/>
    <n v="0"/>
    <n v="0"/>
    <n v="8"/>
    <n v="4"/>
    <n v="13.11"/>
    <n v="124.21"/>
    <n v="19"/>
    <n v="0"/>
    <n v="1"/>
    <n v="3"/>
    <n v="43"/>
    <n v="160"/>
    <n v="2"/>
    <n v="1388"/>
    <n v="31"/>
    <x v="41"/>
    <n v="2"/>
    <n v="0"/>
    <n v="44.77"/>
    <n v="8.67"/>
    <n v="30.96"/>
    <n v="43"/>
  </r>
  <r>
    <x v="155"/>
    <x v="6"/>
    <s v="https://sports.ndtv.com/cricket/players/1562-alex-hales-playerprofile"/>
    <x v="0"/>
    <n v="1.5"/>
    <x v="153"/>
    <s v="January 3, 1989 Hillingdon, Middlesex"/>
    <s v="33 Years, 2 Months, 12 Days"/>
    <x v="1"/>
    <x v="0"/>
    <s v="Right-arm medium"/>
    <m/>
    <n v="6"/>
    <n v="6"/>
    <n v="0"/>
    <x v="88"/>
    <x v="96"/>
    <n v="0"/>
    <n v="0"/>
    <n v="13"/>
    <n v="6"/>
    <n v="24.66"/>
    <n v="125.42"/>
    <n v="2"/>
    <n v="0"/>
    <m/>
    <m/>
    <m/>
    <m/>
    <m/>
    <m/>
    <m/>
    <x v="0"/>
    <m/>
    <m/>
    <m/>
    <m/>
    <m/>
    <m/>
  </r>
  <r>
    <x v="156"/>
    <x v="6"/>
    <s v="https://sports.ndtv.com/cricket/players/1313-mohammad-nabi-playerprofile"/>
    <x v="1"/>
    <n v="1"/>
    <x v="154"/>
    <s v="January 1, 1985 Loger, Afghanistan"/>
    <s v="37 Years, 2 Months, 14 Days"/>
    <x v="7"/>
    <x v="0"/>
    <s v="Off break"/>
    <s v="IPL"/>
    <n v="17"/>
    <n v="14"/>
    <n v="2"/>
    <x v="89"/>
    <x v="97"/>
    <n v="0"/>
    <n v="0"/>
    <n v="16"/>
    <n v="9"/>
    <n v="15"/>
    <n v="151.26"/>
    <n v="11"/>
    <n v="0"/>
    <n v="0"/>
    <n v="1"/>
    <n v="17"/>
    <n v="57.1"/>
    <n v="0"/>
    <n v="408"/>
    <n v="13"/>
    <x v="80"/>
    <n v="0"/>
    <n v="0"/>
    <n v="31.38"/>
    <n v="7.13"/>
    <n v="26.38"/>
    <n v="17"/>
  </r>
  <r>
    <x v="157"/>
    <x v="6"/>
    <s v="https://sports.ndtv.com/cricket/players/965-ajinkya-rahane-playerprofile"/>
    <x v="0"/>
    <n v="1"/>
    <x v="155"/>
    <s v="June 6, 1988 Ashwi-KD,Maharashtra"/>
    <s v="33 Years, 9 Months, 9 Days"/>
    <x v="0"/>
    <x v="0"/>
    <s v="Right-arm medium"/>
    <s v="IPL"/>
    <n v="151"/>
    <n v="141"/>
    <n v="16"/>
    <x v="90"/>
    <x v="98"/>
    <n v="2"/>
    <n v="28"/>
    <n v="417"/>
    <n v="76"/>
    <n v="31.52"/>
    <n v="121.33"/>
    <n v="58"/>
    <n v="0"/>
    <n v="13"/>
    <n v="7"/>
    <n v="1"/>
    <n v="1"/>
    <n v="0"/>
    <n v="5"/>
    <n v="1"/>
    <x v="81"/>
    <n v="0"/>
    <n v="0"/>
    <n v="5"/>
    <n v="5"/>
    <n v="6"/>
    <n v="1"/>
  </r>
  <r>
    <x v="158"/>
    <x v="6"/>
    <s v="https://sports.ndtv.com/cricket/players/27641-sheldon-philip-jackson-playerprofile"/>
    <x v="3"/>
    <n v="0.6"/>
    <x v="62"/>
    <m/>
    <m/>
    <x v="8"/>
    <x v="2"/>
    <m/>
    <m/>
    <m/>
    <m/>
    <m/>
    <x v="6"/>
    <x v="6"/>
    <m/>
    <m/>
    <m/>
    <m/>
    <m/>
    <m/>
    <m/>
    <m/>
    <m/>
    <m/>
    <m/>
    <m/>
    <m/>
    <m/>
    <m/>
    <x v="0"/>
    <m/>
    <m/>
    <m/>
    <m/>
    <m/>
    <m/>
  </r>
  <r>
    <x v="159"/>
    <x v="6"/>
    <s v="https://sports.ndtv.com/cricket/players/106742-rinku-singh-playerprofile"/>
    <x v="0"/>
    <n v="0.55000000000000004"/>
    <x v="156"/>
    <s v="October 12, 1997 Aligarh, Uttar Pradesh"/>
    <s v="24 Years, 5 Months, 3 Days"/>
    <x v="0"/>
    <x v="1"/>
    <s v="Off break"/>
    <m/>
    <n v="10"/>
    <n v="8"/>
    <n v="1"/>
    <x v="91"/>
    <x v="99"/>
    <n v="0"/>
    <n v="0"/>
    <n v="6"/>
    <n v="2"/>
    <n v="11"/>
    <n v="101.31"/>
    <n v="6"/>
    <n v="0"/>
    <n v="0"/>
    <n v="0"/>
    <m/>
    <m/>
    <m/>
    <m/>
    <m/>
    <x v="0"/>
    <m/>
    <m/>
    <m/>
    <m/>
    <m/>
    <m/>
  </r>
  <r>
    <x v="160"/>
    <x v="6"/>
    <s v="https://sports.ndtv.com/cricket/players/115359-ashok-sharma-playerprofile"/>
    <x v="2"/>
    <n v="0.55000000000000004"/>
    <x v="157"/>
    <d v="2002-06-17T00:00:00"/>
    <s v="19 Years, 8 Months, 28 Days"/>
    <x v="0"/>
    <x v="0"/>
    <s v="Right-arm medium fast"/>
    <m/>
    <m/>
    <m/>
    <m/>
    <x v="6"/>
    <x v="6"/>
    <m/>
    <m/>
    <m/>
    <m/>
    <m/>
    <m/>
    <m/>
    <m/>
    <m/>
    <m/>
    <m/>
    <m/>
    <m/>
    <m/>
    <m/>
    <x v="0"/>
    <m/>
    <m/>
    <m/>
    <m/>
    <m/>
    <m/>
  </r>
  <r>
    <x v="161"/>
    <x v="6"/>
    <s v="https://sports.ndtv.com/cricket/players/64316-chamika-karunaratne-playerprofile"/>
    <x v="1"/>
    <n v="0.5"/>
    <x v="158"/>
    <d v="1996-05-29T00:00:00"/>
    <s v="25 Years, 9 Months, 17 Days"/>
    <x v="5"/>
    <x v="2"/>
    <m/>
    <s v="Cricket"/>
    <m/>
    <m/>
    <m/>
    <x v="6"/>
    <x v="6"/>
    <m/>
    <m/>
    <m/>
    <m/>
    <m/>
    <m/>
    <m/>
    <m/>
    <m/>
    <m/>
    <m/>
    <m/>
    <m/>
    <m/>
    <m/>
    <x v="0"/>
    <m/>
    <m/>
    <m/>
    <m/>
    <m/>
    <m/>
  </r>
  <r>
    <x v="162"/>
    <x v="6"/>
    <s v="https://sports.ndtv.com/cricket/players/108580-abhijeet-tomar-playerprofile"/>
    <x v="0"/>
    <n v="0.4"/>
    <x v="159"/>
    <s v="March 14, 1995 Jaipur, Rajasthan"/>
    <s v="27 Years, 0 Months, 2 Days"/>
    <x v="0"/>
    <x v="0"/>
    <s v="Off break"/>
    <m/>
    <m/>
    <m/>
    <m/>
    <x v="6"/>
    <x v="6"/>
    <m/>
    <m/>
    <m/>
    <m/>
    <m/>
    <m/>
    <m/>
    <m/>
    <m/>
    <m/>
    <m/>
    <m/>
    <m/>
    <m/>
    <m/>
    <x v="0"/>
    <m/>
    <m/>
    <m/>
    <m/>
    <m/>
    <m/>
  </r>
  <r>
    <x v="163"/>
    <x v="6"/>
    <s v="https://sports.ndtv.com/cricket/players/108575-anukul-roy-playerprofile"/>
    <x v="1"/>
    <n v="0.2"/>
    <x v="160"/>
    <s v="November 30, 1998 Saraikela Kharswan, Jharkhand"/>
    <s v="23 Years, 3 Months, 15 Days"/>
    <x v="0"/>
    <x v="1"/>
    <s v="Slow left-arm orthodox"/>
    <s v="IPL"/>
    <n v="1"/>
    <n v="0"/>
    <n v="0"/>
    <x v="6"/>
    <x v="6"/>
    <n v="0"/>
    <n v="0"/>
    <n v="0"/>
    <n v="0"/>
    <m/>
    <n v="0"/>
    <m/>
    <m/>
    <n v="0"/>
    <n v="0"/>
    <n v="1"/>
    <n v="2"/>
    <n v="0"/>
    <n v="11"/>
    <n v="1"/>
    <x v="82"/>
    <n v="0"/>
    <n v="0"/>
    <n v="11"/>
    <n v="5.5"/>
    <n v="12"/>
    <n v="1"/>
  </r>
  <r>
    <x v="164"/>
    <x v="6"/>
    <s v="https://sports.ndtv.com/cricket/players/107537-pratham-singh-playerprofile"/>
    <x v="0"/>
    <n v="0.2"/>
    <x v="161"/>
    <s v="August 31, 1992 Delhi"/>
    <s v="29 Years, 6 Months, 15 Days"/>
    <x v="0"/>
    <x v="1"/>
    <s v="Off break"/>
    <m/>
    <m/>
    <m/>
    <m/>
    <x v="6"/>
    <x v="6"/>
    <m/>
    <m/>
    <m/>
    <m/>
    <m/>
    <m/>
    <m/>
    <m/>
    <m/>
    <m/>
    <m/>
    <m/>
    <m/>
    <m/>
    <m/>
    <x v="0"/>
    <m/>
    <m/>
    <m/>
    <m/>
    <m/>
    <m/>
  </r>
  <r>
    <x v="165"/>
    <x v="6"/>
    <s v="https://sports.ndtv.com/cricket/players/110974-rasikh-salam-playerprofile"/>
    <x v="2"/>
    <n v="0.2"/>
    <x v="162"/>
    <d v="2001-04-05T00:00:00"/>
    <s v="20 Years, 11 Months, 10 Days"/>
    <x v="0"/>
    <x v="0"/>
    <s v="Right-arm medium"/>
    <s v="IPL"/>
    <n v="1"/>
    <n v="1"/>
    <n v="1"/>
    <x v="92"/>
    <x v="100"/>
    <n v="0"/>
    <n v="0"/>
    <n v="0"/>
    <n v="0"/>
    <m/>
    <n v="125"/>
    <n v="1"/>
    <n v="0"/>
    <n v="0"/>
    <n v="0"/>
    <n v="1"/>
    <n v="4"/>
    <n v="0"/>
    <n v="42"/>
    <n v="0"/>
    <x v="83"/>
    <n v="0"/>
    <n v="0"/>
    <m/>
    <n v="10.5"/>
    <m/>
    <n v="1"/>
  </r>
  <r>
    <x v="166"/>
    <x v="6"/>
    <s v="https://sports.ndtv.com/cricket/players/115360-ramesh-kumar-playerprofile"/>
    <x v="0"/>
    <n v="0.2"/>
    <x v="163"/>
    <d v="1999-01-01T00:00:00"/>
    <s v="23 Years, 2 Months, 14 Days"/>
    <x v="0"/>
    <x v="1"/>
    <m/>
    <m/>
    <m/>
    <m/>
    <m/>
    <x v="6"/>
    <x v="6"/>
    <m/>
    <m/>
    <m/>
    <m/>
    <m/>
    <m/>
    <m/>
    <m/>
    <m/>
    <m/>
    <m/>
    <m/>
    <m/>
    <m/>
    <m/>
    <x v="0"/>
    <m/>
    <m/>
    <m/>
    <m/>
    <m/>
    <m/>
  </r>
  <r>
    <x v="167"/>
    <x v="6"/>
    <s v="https://sports.ndtv.com/cricket/players/115300-aman-khan-playerprofile"/>
    <x v="1"/>
    <n v="0.2"/>
    <x v="164"/>
    <d v="1996-11-23T00:00:00"/>
    <s v="25 Years, 3 Months, 22 Days"/>
    <x v="0"/>
    <x v="0"/>
    <s v="Right-arm medium"/>
    <m/>
    <m/>
    <m/>
    <m/>
    <x v="6"/>
    <x v="6"/>
    <m/>
    <m/>
    <m/>
    <m/>
    <m/>
    <m/>
    <m/>
    <m/>
    <m/>
    <m/>
    <m/>
    <m/>
    <m/>
    <m/>
    <m/>
    <x v="0"/>
    <m/>
    <m/>
    <m/>
    <m/>
    <m/>
    <m/>
  </r>
  <r>
    <x v="168"/>
    <x v="6"/>
    <s v="https://sports.ndtv.com/cricket/players/64703-baba-indrajith-playerprofile"/>
    <x v="3"/>
    <n v="0.2"/>
    <x v="165"/>
    <s v="July 8, 1994 Madras (now Chennai)"/>
    <s v="27 Years, 8 Months, 7 Days"/>
    <x v="0"/>
    <x v="0"/>
    <s v="Leg break googly"/>
    <m/>
    <m/>
    <m/>
    <m/>
    <x v="6"/>
    <x v="6"/>
    <m/>
    <m/>
    <m/>
    <m/>
    <m/>
    <m/>
    <m/>
    <m/>
    <m/>
    <m/>
    <m/>
    <m/>
    <m/>
    <m/>
    <m/>
    <x v="0"/>
    <m/>
    <m/>
    <m/>
    <m/>
    <m/>
    <m/>
  </r>
  <r>
    <x v="169"/>
    <x v="7"/>
    <s v="https://sports.ndtv.com/cricket/players/107048-rishabh-pant-playerprofile"/>
    <x v="3"/>
    <n v="16"/>
    <x v="166"/>
    <s v="October 4, 1997 Haridwar, Uttarakhand"/>
    <s v="24 Years, 5 Months, 11 Days"/>
    <x v="0"/>
    <x v="1"/>
    <m/>
    <m/>
    <n v="84"/>
    <n v="84"/>
    <n v="13"/>
    <x v="93"/>
    <x v="101"/>
    <n v="1"/>
    <n v="15"/>
    <n v="225"/>
    <n v="113"/>
    <n v="35.18"/>
    <n v="147.46"/>
    <n v="56"/>
    <n v="14"/>
    <n v="4"/>
    <n v="6"/>
    <m/>
    <m/>
    <m/>
    <m/>
    <m/>
    <x v="0"/>
    <m/>
    <m/>
    <m/>
    <m/>
    <m/>
    <m/>
  </r>
  <r>
    <x v="170"/>
    <x v="7"/>
    <s v="https://sports.ndtv.com/cricket/players/63779-shardul-narendra-thakur-playerprofile"/>
    <x v="2"/>
    <n v="10.75"/>
    <x v="167"/>
    <s v="October 16, 1991 Palghar, Maharashtra"/>
    <s v="30 Years, 5 Months, 0 Days"/>
    <x v="0"/>
    <x v="0"/>
    <s v="Right-arm medium fast"/>
    <s v="IPL"/>
    <n v="61"/>
    <n v="14"/>
    <n v="6"/>
    <x v="94"/>
    <x v="102"/>
    <n v="0"/>
    <n v="0"/>
    <n v="5"/>
    <n v="1"/>
    <n v="6.62"/>
    <n v="112.76"/>
    <n v="17"/>
    <n v="0"/>
    <n v="5"/>
    <n v="2"/>
    <n v="60"/>
    <n v="210"/>
    <n v="2"/>
    <n v="1867"/>
    <n v="67"/>
    <x v="84"/>
    <n v="5"/>
    <n v="0"/>
    <n v="27.86"/>
    <n v="8.89"/>
    <n v="18.8"/>
    <n v="60"/>
  </r>
  <r>
    <x v="171"/>
    <x v="7"/>
    <s v="https://sports.ndtv.com/cricket/players/63024-akshar-rajeshbhai-patel-playerprofile"/>
    <x v="1"/>
    <n v="9"/>
    <x v="168"/>
    <s v="January 20, 1994 Anand, Gujarat"/>
    <s v="28 Years, 1 Months, 23 Days"/>
    <x v="0"/>
    <x v="1"/>
    <s v="Slow left-arm orthodox"/>
    <s v="IPL"/>
    <n v="109"/>
    <n v="78"/>
    <n v="23"/>
    <x v="95"/>
    <x v="103"/>
    <n v="0"/>
    <n v="0"/>
    <n v="55"/>
    <n v="44"/>
    <n v="17.32"/>
    <n v="125.23"/>
    <n v="44"/>
    <n v="0"/>
    <n v="7"/>
    <n v="6"/>
    <n v="108"/>
    <n v="382.3"/>
    <n v="2"/>
    <n v="2762"/>
    <n v="95"/>
    <x v="85"/>
    <n v="3"/>
    <n v="0"/>
    <n v="29.07"/>
    <n v="7.22"/>
    <n v="24.15"/>
    <n v="108"/>
  </r>
  <r>
    <x v="172"/>
    <x v="7"/>
    <s v="https://sports.ndtv.com/cricket/players/107533-prithvi-shaw-playerprofile"/>
    <x v="0"/>
    <n v="7.5"/>
    <x v="169"/>
    <s v="November 9, 1999 Thane, Maharashtra"/>
    <s v="22 Years, 4 Months, 7 Days"/>
    <x v="0"/>
    <x v="0"/>
    <s v="Off break"/>
    <m/>
    <n v="53"/>
    <n v="53"/>
    <n v="0"/>
    <x v="96"/>
    <x v="104"/>
    <n v="0"/>
    <n v="10"/>
    <n v="155"/>
    <n v="45"/>
    <n v="24.62"/>
    <n v="146.30000000000001"/>
    <n v="11"/>
    <n v="0"/>
    <n v="4"/>
    <n v="3"/>
    <m/>
    <m/>
    <m/>
    <m/>
    <m/>
    <x v="0"/>
    <m/>
    <m/>
    <m/>
    <m/>
    <m/>
    <m/>
  </r>
  <r>
    <x v="173"/>
    <x v="7"/>
    <s v="https://sports.ndtv.com/cricket/players/1425-mitchell-marsh-playerprofile"/>
    <x v="1"/>
    <n v="6.5"/>
    <x v="170"/>
    <s v="October 20, 1991 Attadale, Perth"/>
    <s v="30 Years, 4 Months, 27 Days"/>
    <x v="4"/>
    <x v="0"/>
    <s v="Right-arm medium"/>
    <s v="IPL"/>
    <n v="21"/>
    <n v="15"/>
    <n v="2"/>
    <x v="97"/>
    <x v="105"/>
    <n v="0"/>
    <n v="0"/>
    <n v="9"/>
    <n v="14"/>
    <n v="17.3"/>
    <n v="114.21"/>
    <n v="7"/>
    <n v="0"/>
    <n v="1"/>
    <n v="1"/>
    <n v="19"/>
    <n v="53.1"/>
    <n v="0"/>
    <n v="420"/>
    <n v="20"/>
    <x v="86"/>
    <n v="0"/>
    <n v="0"/>
    <n v="21"/>
    <n v="7.89"/>
    <n v="15.95"/>
    <n v="19"/>
  </r>
  <r>
    <x v="174"/>
    <x v="7"/>
    <s v="https://sports.ndtv.com/cricket/players/64072-anrich-nortje-playerprofile"/>
    <x v="2"/>
    <n v="6.5"/>
    <x v="171"/>
    <d v="1993-11-16T00:00:00"/>
    <s v="28 Years, 4 Months, -1 Days"/>
    <x v="2"/>
    <x v="0"/>
    <s v="Right-arm fast"/>
    <s v="IPL"/>
    <n v="24"/>
    <n v="5"/>
    <n v="4"/>
    <x v="98"/>
    <x v="106"/>
    <n v="0"/>
    <n v="0"/>
    <n v="0"/>
    <n v="0"/>
    <n v="7"/>
    <n v="116.66"/>
    <n v="5"/>
    <n v="0"/>
    <n v="2"/>
    <n v="0"/>
    <n v="24"/>
    <n v="91.2"/>
    <n v="1"/>
    <n v="699"/>
    <n v="34"/>
    <x v="87"/>
    <n v="2"/>
    <n v="0"/>
    <n v="20.55"/>
    <n v="7.65"/>
    <n v="16.11"/>
    <n v="24"/>
  </r>
  <r>
    <x v="175"/>
    <x v="7"/>
    <s v="https://sports.ndtv.com/cricket/players/1285-david-warner-playerprofile"/>
    <x v="0"/>
    <n v="6.25"/>
    <x v="172"/>
    <s v="October 27, 1986 Paddington, New South Wales"/>
    <s v="35 Years, 4 Months, 19 Days"/>
    <x v="4"/>
    <x v="1"/>
    <s v="Leg break"/>
    <s v="IPL"/>
    <n v="150"/>
    <n v="150"/>
    <n v="19"/>
    <x v="99"/>
    <x v="107"/>
    <n v="4"/>
    <n v="50"/>
    <n v="525"/>
    <n v="201"/>
    <n v="41.59"/>
    <n v="139.96"/>
    <n v="68"/>
    <n v="0"/>
    <n v="8"/>
    <n v="9"/>
    <n v="1"/>
    <n v="0.1"/>
    <n v="0"/>
    <n v="2"/>
    <n v="0"/>
    <x v="88"/>
    <n v="0"/>
    <n v="0"/>
    <m/>
    <n v="12"/>
    <m/>
    <n v="1"/>
  </r>
  <r>
    <x v="176"/>
    <x v="7"/>
    <s v="https://sports.ndtv.com/cricket/players/107233-khaleel-ahmed-playerprofile"/>
    <x v="2"/>
    <n v="5.25"/>
    <x v="173"/>
    <s v="December 5, 1997 Tonk, Rajasthan"/>
    <s v="24 Years, 3 Months, 10 Days"/>
    <x v="0"/>
    <x v="0"/>
    <s v="Left-arm medium"/>
    <s v="IPL"/>
    <n v="24"/>
    <n v="3"/>
    <n v="0"/>
    <x v="45"/>
    <x v="108"/>
    <n v="0"/>
    <n v="0"/>
    <n v="0"/>
    <n v="0"/>
    <n v="0.33"/>
    <n v="20"/>
    <n v="1"/>
    <n v="0"/>
    <n v="2"/>
    <n v="1"/>
    <n v="24"/>
    <n v="90.3"/>
    <n v="0"/>
    <n v="786"/>
    <n v="32"/>
    <x v="89"/>
    <n v="6"/>
    <n v="0"/>
    <n v="24.56"/>
    <n v="8.68"/>
    <n v="16.96"/>
    <n v="24"/>
  </r>
  <r>
    <x v="177"/>
    <x v="7"/>
    <s v="https://sports.ndtv.com/cricket/players/110598-chetan-sakariya-playerprofile"/>
    <x v="2"/>
    <n v="4.2"/>
    <x v="174"/>
    <s v="February 28, 1998 Bhavnagar"/>
    <s v="24 Years, 0 Months, 15 Days"/>
    <x v="0"/>
    <x v="1"/>
    <s v="Left-arm medium fast"/>
    <s v="IPL"/>
    <n v="14"/>
    <n v="6"/>
    <n v="1"/>
    <x v="64"/>
    <x v="109"/>
    <n v="0"/>
    <n v="0"/>
    <n v="2"/>
    <n v="0"/>
    <n v="3.2"/>
    <n v="64"/>
    <n v="4"/>
    <n v="0"/>
    <n v="2"/>
    <n v="1"/>
    <n v="14"/>
    <n v="52"/>
    <n v="1"/>
    <n v="426"/>
    <n v="14"/>
    <x v="90"/>
    <n v="2"/>
    <n v="0"/>
    <n v="30.42"/>
    <n v="8.19"/>
    <n v="22.28"/>
    <n v="14"/>
  </r>
  <r>
    <x v="178"/>
    <x v="7"/>
    <s v="https://sports.ndtv.com/cricket/players/107485-rovman-powell-playerprofile"/>
    <x v="0"/>
    <n v="2.8"/>
    <x v="175"/>
    <d v="1993-07-23T00:00:00"/>
    <s v="28 Years, 7 Months, 23 Days"/>
    <x v="3"/>
    <x v="0"/>
    <s v="Right-arm medium fast"/>
    <m/>
    <m/>
    <m/>
    <m/>
    <x v="6"/>
    <x v="6"/>
    <m/>
    <m/>
    <m/>
    <m/>
    <m/>
    <m/>
    <m/>
    <m/>
    <m/>
    <m/>
    <m/>
    <m/>
    <m/>
    <m/>
    <m/>
    <x v="0"/>
    <m/>
    <m/>
    <m/>
    <m/>
    <m/>
    <m/>
  </r>
  <r>
    <x v="179"/>
    <x v="7"/>
    <s v="https://sports.ndtv.com/cricket/players/63624-kuldeep-yadav-playerprofile"/>
    <x v="2"/>
    <n v="2"/>
    <x v="176"/>
    <s v="December 14, 1994 Kanpur, Uttar Pradesh"/>
    <s v="27 Years, 3 Months, 1 Days"/>
    <x v="0"/>
    <x v="1"/>
    <s v="Slow left-arm chinaman"/>
    <s v="IPL"/>
    <n v="45"/>
    <n v="11"/>
    <n v="5"/>
    <x v="100"/>
    <x v="110"/>
    <n v="0"/>
    <n v="0"/>
    <n v="5"/>
    <n v="0"/>
    <n v="9.5"/>
    <n v="76"/>
    <n v="11"/>
    <n v="0"/>
    <n v="3"/>
    <n v="3"/>
    <n v="43"/>
    <n v="149.19999999999999"/>
    <n v="0"/>
    <n v="1236"/>
    <n v="40"/>
    <x v="91"/>
    <n v="2"/>
    <n v="0"/>
    <n v="30.9"/>
    <n v="8.27"/>
    <n v="22.4"/>
    <n v="43"/>
  </r>
  <r>
    <x v="180"/>
    <x v="7"/>
    <s v="https://sports.ndtv.com/cricket/players/60643-kona-srikar-bharat-playerprofile"/>
    <x v="3"/>
    <n v="2"/>
    <x v="177"/>
    <s v="October 3, 1993 Visakhapatnam, Andhra Pradesh"/>
    <s v="28 Years, 5 Months, 12 Days"/>
    <x v="0"/>
    <x v="0"/>
    <m/>
    <m/>
    <n v="8"/>
    <n v="7"/>
    <n v="2"/>
    <x v="101"/>
    <x v="111"/>
    <n v="0"/>
    <n v="1"/>
    <n v="10"/>
    <n v="8"/>
    <n v="38.200000000000003"/>
    <n v="122.43"/>
    <n v="4"/>
    <n v="1"/>
    <n v="1"/>
    <n v="0"/>
    <m/>
    <m/>
    <m/>
    <m/>
    <m/>
    <x v="0"/>
    <m/>
    <m/>
    <m/>
    <m/>
    <m/>
    <m/>
  </r>
  <r>
    <x v="181"/>
    <x v="7"/>
    <s v="https://sports.ndtv.com/cricket/players/64306-mustafizur-rahman-playerprofile"/>
    <x v="2"/>
    <n v="2"/>
    <x v="178"/>
    <s v="September 6, 1995 Satkhira"/>
    <s v="26 Years, 6 Months, 10 Days"/>
    <x v="10"/>
    <x v="1"/>
    <s v="Left-arm fast medium"/>
    <s v="IPL"/>
    <n v="38"/>
    <n v="7"/>
    <n v="6"/>
    <x v="102"/>
    <x v="112"/>
    <n v="0"/>
    <n v="0"/>
    <n v="0"/>
    <n v="1"/>
    <n v="9"/>
    <n v="52.94"/>
    <n v="5"/>
    <n v="0"/>
    <n v="5"/>
    <n v="0"/>
    <n v="38"/>
    <n v="143"/>
    <n v="1"/>
    <n v="1121"/>
    <n v="38"/>
    <x v="12"/>
    <n v="3"/>
    <n v="0"/>
    <n v="29.5"/>
    <n v="7.83"/>
    <n v="22.57"/>
    <n v="38"/>
  </r>
  <r>
    <x v="182"/>
    <x v="7"/>
    <s v="https://sports.ndtv.com/cricket/players/108584-kamlesh-nagarkoti-playerprofile"/>
    <x v="1"/>
    <n v="1.1000000000000001"/>
    <x v="179"/>
    <s v="December 28, 1999 Barmer, Rajasthan"/>
    <s v="22 Years, 2 Months, 19 Days"/>
    <x v="0"/>
    <x v="0"/>
    <s v="Right-arm fast"/>
    <s v="IPL"/>
    <n v="11"/>
    <n v="7"/>
    <n v="3"/>
    <x v="103"/>
    <x v="113"/>
    <n v="0"/>
    <n v="0"/>
    <n v="1"/>
    <n v="0"/>
    <n v="5.5"/>
    <n v="66.66"/>
    <n v="4"/>
    <n v="0"/>
    <n v="2"/>
    <n v="0"/>
    <n v="10"/>
    <n v="28"/>
    <n v="0"/>
    <n v="256"/>
    <n v="5"/>
    <x v="92"/>
    <n v="0"/>
    <n v="0"/>
    <n v="51.2"/>
    <n v="9.14"/>
    <n v="33.6"/>
    <n v="10"/>
  </r>
  <r>
    <x v="183"/>
    <x v="7"/>
    <s v="https://sports.ndtv.com/cricket/players/1429-mandeep-singh-playerprofile"/>
    <x v="0"/>
    <n v="1.1000000000000001"/>
    <x v="180"/>
    <s v="December 18, 1991 Jalandhar, Punjab"/>
    <s v="30 Years, 2 Months, 29 Days"/>
    <x v="0"/>
    <x v="0"/>
    <s v="Right-arm medium"/>
    <s v="IPL"/>
    <n v="105"/>
    <n v="92"/>
    <n v="16"/>
    <x v="104"/>
    <x v="114"/>
    <n v="0"/>
    <n v="6"/>
    <n v="172"/>
    <n v="37"/>
    <n v="22.02"/>
    <n v="124.09"/>
    <n v="37"/>
    <n v="0"/>
    <n v="12"/>
    <n v="3"/>
    <n v="2"/>
    <n v="2"/>
    <n v="0"/>
    <n v="26"/>
    <n v="0"/>
    <x v="93"/>
    <n v="0"/>
    <n v="0"/>
    <m/>
    <n v="13"/>
    <m/>
    <n v="2"/>
  </r>
  <r>
    <x v="184"/>
    <x v="7"/>
    <s v="https://sports.ndtv.com/cricket/players/108549-lalit-yadav-playerprofile"/>
    <x v="1"/>
    <n v="0.65"/>
    <x v="181"/>
    <s v="January 3, 1997 Delhi"/>
    <s v="25 Years, 2 Months, 12 Days"/>
    <x v="0"/>
    <x v="0"/>
    <s v="Off break"/>
    <s v="IPL"/>
    <n v="7"/>
    <n v="5"/>
    <n v="3"/>
    <x v="28"/>
    <x v="115"/>
    <n v="0"/>
    <n v="0"/>
    <n v="7"/>
    <n v="0"/>
    <n v="34"/>
    <n v="93.15"/>
    <n v="5"/>
    <n v="0"/>
    <n v="1"/>
    <n v="0"/>
    <n v="5"/>
    <n v="14"/>
    <n v="0"/>
    <n v="101"/>
    <n v="4"/>
    <x v="94"/>
    <n v="0"/>
    <n v="0"/>
    <n v="25.25"/>
    <n v="7.21"/>
    <n v="21"/>
    <n v="5"/>
  </r>
  <r>
    <x v="185"/>
    <x v="7"/>
    <s v="https://sports.ndtv.com/cricket/players/114978-yash-dhull-playerprofile"/>
    <x v="1"/>
    <n v="0.5"/>
    <x v="182"/>
    <d v="2002-11-11T00:00:00"/>
    <s v="19 Years, 4 Months, 4 Days"/>
    <x v="0"/>
    <x v="0"/>
    <s v="Off break"/>
    <m/>
    <m/>
    <m/>
    <m/>
    <x v="6"/>
    <x v="6"/>
    <m/>
    <m/>
    <m/>
    <m/>
    <m/>
    <m/>
    <m/>
    <m/>
    <m/>
    <m/>
    <m/>
    <m/>
    <m/>
    <m/>
    <m/>
    <x v="0"/>
    <m/>
    <m/>
    <m/>
    <m/>
    <m/>
    <m/>
  </r>
  <r>
    <x v="186"/>
    <x v="7"/>
    <s v="https://sports.ndtv.com/cricket/players/64640-lungisani-ngidi-playerprofile"/>
    <x v="2"/>
    <n v="0.5"/>
    <x v="183"/>
    <s v="March 29, 1996 Durban, Natal"/>
    <s v="25 Years, 11 Months, 17 Days"/>
    <x v="2"/>
    <x v="0"/>
    <s v="Right-arm fast medium"/>
    <s v="IPL"/>
    <n v="14"/>
    <n v="0"/>
    <n v="0"/>
    <x v="6"/>
    <x v="6"/>
    <n v="0"/>
    <n v="0"/>
    <n v="0"/>
    <n v="0"/>
    <m/>
    <n v="0"/>
    <n v="2"/>
    <n v="0"/>
    <n v="0"/>
    <n v="0"/>
    <n v="14"/>
    <n v="54"/>
    <n v="2"/>
    <n v="448"/>
    <n v="25"/>
    <x v="95"/>
    <n v="3"/>
    <n v="0"/>
    <n v="17.920000000000002"/>
    <n v="8.2899999999999991"/>
    <n v="12.96"/>
    <n v="14"/>
  </r>
  <r>
    <x v="187"/>
    <x v="7"/>
    <s v="https://sports.ndtv.com/cricket/players/64292-tim-l-seifert-playerprofile"/>
    <x v="3"/>
    <n v="0.5"/>
    <x v="184"/>
    <s v="December 14, 1994 Wanganui"/>
    <s v="27 Years, 3 Months, 1 Days"/>
    <x v="6"/>
    <x v="0"/>
    <m/>
    <m/>
    <n v="1"/>
    <n v="1"/>
    <n v="0"/>
    <x v="8"/>
    <x v="116"/>
    <n v="0"/>
    <n v="0"/>
    <n v="0"/>
    <n v="0"/>
    <n v="2"/>
    <n v="50"/>
    <m/>
    <m/>
    <n v="0"/>
    <n v="1"/>
    <m/>
    <m/>
    <m/>
    <m/>
    <m/>
    <x v="0"/>
    <m/>
    <m/>
    <m/>
    <m/>
    <m/>
    <m/>
  </r>
  <r>
    <x v="188"/>
    <x v="7"/>
    <s v="https://sports.ndtv.com/cricket/players/63981-praveen-dubey-playerprofile"/>
    <x v="1"/>
    <n v="0.5"/>
    <x v="185"/>
    <s v="July 1, 1993 Azamgarh, Uttar Pradesh"/>
    <s v="28 Years, 8 Months, 14 Days"/>
    <x v="0"/>
    <x v="0"/>
    <s v="Leg break googly"/>
    <s v="IPL"/>
    <n v="3"/>
    <n v="1"/>
    <n v="1"/>
    <x v="98"/>
    <x v="117"/>
    <n v="0"/>
    <n v="0"/>
    <n v="0"/>
    <n v="0"/>
    <m/>
    <n v="53.84"/>
    <n v="1"/>
    <n v="0"/>
    <n v="0"/>
    <n v="0"/>
    <n v="3"/>
    <n v="8"/>
    <n v="0"/>
    <n v="72"/>
    <n v="0"/>
    <x v="96"/>
    <n v="0"/>
    <n v="0"/>
    <m/>
    <n v="9"/>
    <m/>
    <n v="3"/>
  </r>
  <r>
    <x v="189"/>
    <x v="7"/>
    <s v="https://sports.ndtv.com/cricket/players/110570-ashwin-hebbar-playerprofile"/>
    <x v="0"/>
    <n v="0.2"/>
    <x v="186"/>
    <s v="November 15, 1995 Nellore, Andhra Pradesh"/>
    <s v="26 Years, 4 Months, 1 Days"/>
    <x v="0"/>
    <x v="0"/>
    <s v="Right-arm medium"/>
    <m/>
    <m/>
    <m/>
    <m/>
    <x v="6"/>
    <x v="6"/>
    <m/>
    <m/>
    <m/>
    <m/>
    <m/>
    <m/>
    <m/>
    <m/>
    <m/>
    <m/>
    <m/>
    <m/>
    <m/>
    <m/>
    <m/>
    <x v="0"/>
    <m/>
    <m/>
    <m/>
    <m/>
    <m/>
    <m/>
  </r>
  <r>
    <x v="190"/>
    <x v="7"/>
    <s v="https://sports.ndtv.com/cricket/players/113434-ripal-patel-playerprofile"/>
    <x v="1"/>
    <n v="0.2"/>
    <x v="187"/>
    <s v="September 28, 1995 Nadiad"/>
    <s v="26 Years, 5 Months, 18 Days"/>
    <x v="0"/>
    <x v="0"/>
    <s v="Right-arm medium fast"/>
    <s v="IPL"/>
    <n v="2"/>
    <n v="2"/>
    <n v="1"/>
    <x v="105"/>
    <x v="118"/>
    <n v="0"/>
    <n v="0"/>
    <n v="3"/>
    <n v="0"/>
    <n v="25"/>
    <n v="92.59"/>
    <m/>
    <m/>
    <n v="0"/>
    <n v="0"/>
    <n v="1"/>
    <n v="3"/>
    <n v="0"/>
    <n v="22"/>
    <n v="0"/>
    <x v="97"/>
    <n v="0"/>
    <n v="0"/>
    <m/>
    <n v="7.33"/>
    <m/>
    <n v="1"/>
  </r>
  <r>
    <x v="191"/>
    <x v="7"/>
    <s v="https://sports.ndtv.com/cricket/players/114987-vicky-ostwal-playerprofile"/>
    <x v="1"/>
    <n v="0.2"/>
    <x v="188"/>
    <d v="2002-09-01T00:00:00"/>
    <s v="19 Years, 6 Months, 14 Days"/>
    <x v="0"/>
    <x v="0"/>
    <s v="Slow left-arm orthodox"/>
    <m/>
    <m/>
    <m/>
    <m/>
    <x v="6"/>
    <x v="6"/>
    <m/>
    <m/>
    <m/>
    <m/>
    <m/>
    <m/>
    <m/>
    <m/>
    <m/>
    <m/>
    <m/>
    <m/>
    <m/>
    <m/>
    <m/>
    <x v="0"/>
    <m/>
    <m/>
    <m/>
    <m/>
    <m/>
    <m/>
  </r>
  <r>
    <x v="192"/>
    <x v="7"/>
    <s v="https://sports.ndtv.com/cricket/players/64385-sarfaraz-naushad-khan-playerprofile"/>
    <x v="1"/>
    <n v="0.2"/>
    <x v="189"/>
    <s v="October 22, 1997 Mumbai"/>
    <s v="24 Years, 4 Months, 24 Days"/>
    <x v="0"/>
    <x v="0"/>
    <s v="Leg break"/>
    <s v="IPL"/>
    <n v="40"/>
    <n v="28"/>
    <n v="9"/>
    <x v="106"/>
    <x v="119"/>
    <n v="0"/>
    <n v="1"/>
    <n v="50"/>
    <n v="11"/>
    <n v="23.21"/>
    <n v="138.24"/>
    <n v="6"/>
    <n v="0"/>
    <n v="4"/>
    <n v="1"/>
    <n v="1"/>
    <n v="0.2"/>
    <n v="0"/>
    <n v="6"/>
    <n v="0"/>
    <x v="98"/>
    <n v="0"/>
    <n v="0"/>
    <m/>
    <n v="18"/>
    <m/>
    <n v="1"/>
  </r>
  <r>
    <x v="193"/>
    <x v="8"/>
    <s v="https://sports.ndtv.com/cricket/players/1688-lokesh-rahul-playerprofile"/>
    <x v="3"/>
    <n v="17"/>
    <x v="190"/>
    <s v="April 18, 1992 Bangalore, Karnataka"/>
    <s v="29 Years, 10 Months, 27 Days"/>
    <x v="0"/>
    <x v="0"/>
    <m/>
    <m/>
    <n v="94"/>
    <n v="85"/>
    <n v="16"/>
    <x v="107"/>
    <x v="120"/>
    <n v="2"/>
    <n v="27"/>
    <n v="282"/>
    <n v="134"/>
    <n v="47.43"/>
    <n v="136.37"/>
    <n v="50"/>
    <n v="5"/>
    <n v="2"/>
    <n v="2"/>
    <m/>
    <m/>
    <m/>
    <m/>
    <m/>
    <x v="0"/>
    <m/>
    <m/>
    <m/>
    <m/>
    <m/>
    <m/>
  </r>
  <r>
    <x v="194"/>
    <x v="8"/>
    <s v="https://sports.ndtv.com/cricket/players/64916-avesh-khan-playerprofile"/>
    <x v="2"/>
    <n v="10"/>
    <x v="191"/>
    <s v="December 13, 1996 Indore, Madhya Pradesh"/>
    <s v="25 Years, 3 Months, 2 Days"/>
    <x v="0"/>
    <x v="0"/>
    <s v="Right-arm medium fast"/>
    <s v="IPL"/>
    <n v="25"/>
    <n v="2"/>
    <n v="1"/>
    <x v="102"/>
    <x v="121"/>
    <n v="0"/>
    <n v="0"/>
    <n v="2"/>
    <n v="0"/>
    <n v="9"/>
    <n v="150"/>
    <n v="5"/>
    <n v="0"/>
    <n v="0"/>
    <n v="1"/>
    <n v="25"/>
    <n v="91"/>
    <n v="0"/>
    <n v="749"/>
    <n v="29"/>
    <x v="99"/>
    <n v="4"/>
    <n v="0"/>
    <n v="25.82"/>
    <n v="8.23"/>
    <n v="18.82"/>
    <n v="25"/>
  </r>
  <r>
    <x v="195"/>
    <x v="8"/>
    <s v="https://sports.ndtv.com/cricket/players/42327-marcus-peter-stoinis-playerprofile"/>
    <x v="1"/>
    <n v="9.1999999999999993"/>
    <x v="192"/>
    <s v="August 16, 1989 Perth"/>
    <s v="32 Years, 7 Months, -1 Days"/>
    <x v="4"/>
    <x v="0"/>
    <s v="Right-arm medium"/>
    <s v="IPL"/>
    <n v="56"/>
    <n v="49"/>
    <n v="16"/>
    <x v="108"/>
    <x v="122"/>
    <n v="0"/>
    <n v="4"/>
    <n v="76"/>
    <n v="35"/>
    <n v="27.69"/>
    <n v="135.81"/>
    <n v="12"/>
    <n v="0"/>
    <n v="5"/>
    <n v="2"/>
    <n v="45"/>
    <n v="102"/>
    <n v="0"/>
    <n v="969"/>
    <n v="30"/>
    <x v="100"/>
    <n v="2"/>
    <n v="0"/>
    <n v="32.299999999999997"/>
    <n v="9.5"/>
    <n v="20.399999999999999"/>
    <n v="45"/>
  </r>
  <r>
    <x v="196"/>
    <x v="8"/>
    <s v="https://sports.ndtv.com/cricket/players/1446-jason-holder-playerprofile"/>
    <x v="1"/>
    <n v="8.75"/>
    <x v="193"/>
    <s v="November 5, 1991 Barbados"/>
    <s v="30 Years, 4 Months, 11 Days"/>
    <x v="3"/>
    <x v="0"/>
    <s v="Right-arm medium fast"/>
    <s v="IPL"/>
    <n v="26"/>
    <n v="16"/>
    <n v="3"/>
    <x v="109"/>
    <x v="123"/>
    <n v="0"/>
    <n v="0"/>
    <n v="11"/>
    <n v="11"/>
    <n v="14.53"/>
    <n v="121.15"/>
    <n v="7"/>
    <n v="0"/>
    <n v="1"/>
    <n v="2"/>
    <n v="26"/>
    <n v="95.5"/>
    <n v="0"/>
    <n v="786"/>
    <n v="35"/>
    <x v="101"/>
    <n v="5"/>
    <n v="0"/>
    <n v="22.45"/>
    <n v="8.1999999999999993"/>
    <n v="16.420000000000002"/>
    <n v="26"/>
  </r>
  <r>
    <x v="197"/>
    <x v="8"/>
    <s v="https://sports.ndtv.com/cricket/players/64213-krunal-himashu-pandya-playerprofile"/>
    <x v="1"/>
    <n v="8.25"/>
    <x v="194"/>
    <s v="March 24, 1991 Ahmedabad, Gujarat"/>
    <s v="30 Years, 11 Months, 23 Days"/>
    <x v="0"/>
    <x v="1"/>
    <s v="Slow left-arm orthodox"/>
    <s v="IPL"/>
    <n v="84"/>
    <n v="72"/>
    <n v="22"/>
    <x v="110"/>
    <x v="124"/>
    <n v="0"/>
    <n v="1"/>
    <n v="105"/>
    <n v="46"/>
    <n v="22.86"/>
    <n v="138.54"/>
    <n v="28"/>
    <n v="0"/>
    <n v="6"/>
    <n v="4"/>
    <n v="81"/>
    <n v="240.4"/>
    <n v="0"/>
    <n v="1773"/>
    <n v="51"/>
    <x v="102"/>
    <n v="4"/>
    <n v="0"/>
    <n v="34.76"/>
    <n v="7.36"/>
    <n v="28.31"/>
    <n v="81"/>
  </r>
  <r>
    <x v="198"/>
    <x v="8"/>
    <s v="https://sports.ndtv.com/cricket/players/51060-mark-andrew-wood-playerprofile"/>
    <x v="2"/>
    <n v="7.5"/>
    <x v="195"/>
    <s v="January 11, 1990 Ashington, Northumberland"/>
    <s v="32 Years, 2 Months, 4 Days"/>
    <x v="1"/>
    <x v="0"/>
    <s v="Right-arm fast"/>
    <s v="IPL"/>
    <n v="1"/>
    <n v="1"/>
    <n v="0"/>
    <x v="45"/>
    <x v="108"/>
    <n v="0"/>
    <n v="0"/>
    <n v="0"/>
    <n v="0"/>
    <n v="1"/>
    <n v="33.33"/>
    <n v="1"/>
    <n v="0"/>
    <n v="0"/>
    <n v="0"/>
    <n v="1"/>
    <n v="4"/>
    <n v="0"/>
    <n v="49"/>
    <n v="0"/>
    <x v="103"/>
    <n v="0"/>
    <n v="0"/>
    <m/>
    <n v="12.25"/>
    <m/>
    <n v="1"/>
  </r>
  <r>
    <x v="199"/>
    <x v="8"/>
    <s v="https://sports.ndtv.com/cricket/players/1577-quinton-de-kock-playerprofile"/>
    <x v="3"/>
    <n v="6.75"/>
    <x v="196"/>
    <s v="December 17, 1992 Johannesburg, Gauteng"/>
    <s v="29 Years, 2 Months, 29 Days"/>
    <x v="2"/>
    <x v="1"/>
    <m/>
    <m/>
    <n v="77"/>
    <n v="77"/>
    <n v="5"/>
    <x v="111"/>
    <x v="125"/>
    <n v="1"/>
    <n v="16"/>
    <n v="230"/>
    <n v="83"/>
    <n v="31.33"/>
    <n v="130.93"/>
    <n v="53"/>
    <n v="14"/>
    <n v="3"/>
    <n v="3"/>
    <m/>
    <m/>
    <m/>
    <m/>
    <m/>
    <x v="0"/>
    <m/>
    <m/>
    <m/>
    <m/>
    <m/>
    <m/>
  </r>
  <r>
    <x v="200"/>
    <x v="8"/>
    <s v="https://sports.ndtv.com/cricket/players/64174-deepak-jagbir-hooda-playerprofile"/>
    <x v="1"/>
    <n v="5.75"/>
    <x v="197"/>
    <s v="April 19, 1995 Rohtak"/>
    <s v="26 Years, 10 Months, 27 Days"/>
    <x v="0"/>
    <x v="0"/>
    <s v="Off break"/>
    <s v="IPL"/>
    <n v="80"/>
    <n v="61"/>
    <n v="14"/>
    <x v="112"/>
    <x v="126"/>
    <n v="0"/>
    <n v="3"/>
    <n v="41"/>
    <n v="38"/>
    <n v="16.7"/>
    <n v="129.53"/>
    <n v="32"/>
    <n v="0"/>
    <n v="3"/>
    <n v="7"/>
    <n v="28"/>
    <n v="54.1"/>
    <n v="0"/>
    <n v="458"/>
    <n v="9"/>
    <x v="104"/>
    <n v="0"/>
    <n v="0"/>
    <n v="50.88"/>
    <n v="8.4499999999999993"/>
    <n v="36.11"/>
    <n v="28"/>
  </r>
  <r>
    <x v="201"/>
    <x v="8"/>
    <s v="https://sports.ndtv.com/cricket/players/1045-manish-pandey-playerprofile"/>
    <x v="0"/>
    <n v="4.5999999999999996"/>
    <x v="198"/>
    <s v="September 10, 1989 Nainital, Uttaranchal"/>
    <s v="32 Years, 6 Months, 5 Days"/>
    <x v="0"/>
    <x v="0"/>
    <s v="Right-arm medium"/>
    <m/>
    <n v="154"/>
    <n v="143"/>
    <n v="27"/>
    <x v="113"/>
    <x v="127"/>
    <n v="1"/>
    <n v="21"/>
    <n v="309"/>
    <n v="103"/>
    <n v="30.68"/>
    <n v="121.83"/>
    <n v="75"/>
    <n v="0"/>
    <n v="13"/>
    <n v="6"/>
    <m/>
    <m/>
    <m/>
    <m/>
    <m/>
    <x v="0"/>
    <m/>
    <m/>
    <m/>
    <m/>
    <m/>
    <m/>
  </r>
  <r>
    <x v="202"/>
    <x v="8"/>
    <s v="https://sports.ndtv.com/cricket/players/112652-ravi-bishnoi-playerprofile"/>
    <x v="2"/>
    <n v="4"/>
    <x v="199"/>
    <s v="September 5, 2000 Jodhpur, Rajasthan"/>
    <s v="21 Years, 6 Months, 10 Days"/>
    <x v="0"/>
    <x v="0"/>
    <s v="Leg break googly"/>
    <s v="IPL"/>
    <n v="23"/>
    <n v="4"/>
    <n v="2"/>
    <x v="61"/>
    <x v="128"/>
    <n v="0"/>
    <n v="0"/>
    <n v="1"/>
    <n v="0"/>
    <n v="4"/>
    <n v="50"/>
    <n v="4"/>
    <n v="0"/>
    <n v="1"/>
    <n v="0"/>
    <n v="23"/>
    <n v="87"/>
    <n v="1"/>
    <n v="606"/>
    <n v="24"/>
    <x v="41"/>
    <n v="3"/>
    <n v="0"/>
    <n v="25.25"/>
    <n v="6.96"/>
    <n v="21.75"/>
    <n v="23"/>
  </r>
  <r>
    <x v="203"/>
    <x v="8"/>
    <s v="https://sports.ndtv.com/cricket/players/1682-evin-lewis-playerprofile"/>
    <x v="0"/>
    <n v="2"/>
    <x v="62"/>
    <m/>
    <m/>
    <x v="8"/>
    <x v="2"/>
    <m/>
    <m/>
    <m/>
    <m/>
    <m/>
    <x v="6"/>
    <x v="6"/>
    <m/>
    <m/>
    <m/>
    <m/>
    <m/>
    <m/>
    <m/>
    <m/>
    <m/>
    <m/>
    <m/>
    <m/>
    <m/>
    <m/>
    <m/>
    <x v="0"/>
    <m/>
    <m/>
    <m/>
    <m/>
    <m/>
    <m/>
  </r>
  <r>
    <x v="204"/>
    <x v="8"/>
    <s v="https://sports.ndtv.com/cricket/players/51217-pathira-vasan-dushmantha-chameera-playerprofile"/>
    <x v="2"/>
    <n v="2"/>
    <x v="200"/>
    <s v="January 11, 1992 Ragama"/>
    <s v="30 Years, 2 Months, 5 Days"/>
    <x v="5"/>
    <x v="0"/>
    <s v="Right-arm fast"/>
    <m/>
    <m/>
    <m/>
    <m/>
    <x v="6"/>
    <x v="6"/>
    <m/>
    <m/>
    <m/>
    <m/>
    <m/>
    <m/>
    <m/>
    <m/>
    <m/>
    <m/>
    <m/>
    <m/>
    <m/>
    <m/>
    <m/>
    <x v="0"/>
    <m/>
    <m/>
    <m/>
    <m/>
    <m/>
    <m/>
  </r>
  <r>
    <x v="205"/>
    <x v="8"/>
    <s v="https://sports.ndtv.com/cricket/players/61268-krishnappa-gowtham-playerprofile"/>
    <x v="1"/>
    <n v="0.9"/>
    <x v="201"/>
    <s v="October 20, 1988 Bangalore, Karnataka"/>
    <s v="33 Years, 4 Months, 26 Days"/>
    <x v="0"/>
    <x v="0"/>
    <s v="Off break"/>
    <s v="IPL"/>
    <n v="24"/>
    <n v="19"/>
    <n v="6"/>
    <x v="114"/>
    <x v="129"/>
    <n v="0"/>
    <n v="0"/>
    <n v="13"/>
    <n v="12"/>
    <n v="14.3"/>
    <n v="169.09"/>
    <n v="10"/>
    <n v="0"/>
    <n v="2"/>
    <n v="1"/>
    <n v="24"/>
    <n v="68"/>
    <n v="0"/>
    <n v="562"/>
    <n v="13"/>
    <x v="105"/>
    <n v="0"/>
    <n v="0"/>
    <n v="43.23"/>
    <n v="8.26"/>
    <n v="31.38"/>
    <n v="24"/>
  </r>
  <r>
    <x v="206"/>
    <x v="8"/>
    <s v="https://sports.ndtv.com/cricket/players/50992-kyle-r-mayers-playerprofile"/>
    <x v="1"/>
    <n v="0.5"/>
    <x v="202"/>
    <s v="September 8, 1992 Barbados"/>
    <s v="29 Years, 6 Months, 7 Days"/>
    <x v="3"/>
    <x v="1"/>
    <s v="Right-arm medium"/>
    <m/>
    <m/>
    <m/>
    <m/>
    <x v="6"/>
    <x v="6"/>
    <m/>
    <m/>
    <m/>
    <m/>
    <m/>
    <m/>
    <m/>
    <m/>
    <m/>
    <m/>
    <m/>
    <m/>
    <m/>
    <m/>
    <m/>
    <x v="0"/>
    <m/>
    <m/>
    <m/>
    <m/>
    <m/>
    <m/>
  </r>
  <r>
    <x v="207"/>
    <x v="8"/>
    <s v="https://sports.ndtv.com/cricket/players/1395-shahbaz-nadeem-playerprofile"/>
    <x v="2"/>
    <n v="0.5"/>
    <x v="203"/>
    <s v="August 12, 1989 Bokaro, Bihar, India"/>
    <s v="32 Years, 7 Months, 3 Days"/>
    <x v="0"/>
    <x v="0"/>
    <s v="Slow left-arm orthodox"/>
    <s v="IPL"/>
    <n v="72"/>
    <n v="22"/>
    <n v="8"/>
    <x v="115"/>
    <x v="130"/>
    <n v="0"/>
    <n v="0"/>
    <n v="2"/>
    <n v="0"/>
    <n v="2.78"/>
    <n v="44.82"/>
    <n v="16"/>
    <n v="0"/>
    <n v="9"/>
    <n v="2"/>
    <n v="70"/>
    <n v="235.5"/>
    <n v="2"/>
    <n v="1784"/>
    <n v="48"/>
    <x v="106"/>
    <n v="1"/>
    <n v="0"/>
    <n v="37.159999999999997"/>
    <n v="7.56"/>
    <n v="29.47"/>
    <n v="70"/>
  </r>
  <r>
    <x v="208"/>
    <x v="8"/>
    <s v="https://sports.ndtv.com/cricket/players/1717-ankit-rajpoot-playerprofile"/>
    <x v="2"/>
    <n v="0.5"/>
    <x v="204"/>
    <s v="December 4, 1993 Kanpur"/>
    <s v="28 Years, 3 Months, 11 Days"/>
    <x v="0"/>
    <x v="0"/>
    <s v="Right-arm fast"/>
    <s v="IPL"/>
    <n v="29"/>
    <n v="7"/>
    <n v="2"/>
    <x v="24"/>
    <x v="131"/>
    <n v="0"/>
    <n v="0"/>
    <n v="2"/>
    <n v="1"/>
    <n v="5.2"/>
    <n v="63.41"/>
    <n v="4"/>
    <n v="0"/>
    <n v="0"/>
    <n v="1"/>
    <n v="29"/>
    <n v="88.1"/>
    <n v="1"/>
    <n v="814"/>
    <n v="24"/>
    <x v="107"/>
    <n v="1"/>
    <n v="1"/>
    <n v="33.909999999999997"/>
    <n v="9.23"/>
    <n v="22.04"/>
    <n v="29"/>
  </r>
  <r>
    <x v="209"/>
    <x v="8"/>
    <s v="https://sports.ndtv.com/cricket/players/110599-mohsin-khan-playerprofile"/>
    <x v="2"/>
    <n v="0.2"/>
    <x v="205"/>
    <s v="July 15, 1998 Sambhal, Uttar Pradesh"/>
    <s v="23 Years, 8 Months, 0 Days"/>
    <x v="0"/>
    <x v="1"/>
    <s v="Left-arm medium fast"/>
    <m/>
    <m/>
    <m/>
    <m/>
    <x v="6"/>
    <x v="6"/>
    <m/>
    <m/>
    <m/>
    <m/>
    <m/>
    <m/>
    <m/>
    <m/>
    <m/>
    <m/>
    <m/>
    <m/>
    <m/>
    <m/>
    <m/>
    <x v="0"/>
    <m/>
    <m/>
    <m/>
    <m/>
    <m/>
    <m/>
  </r>
  <r>
    <x v="210"/>
    <x v="8"/>
    <s v="https://sports.ndtv.com/cricket/players/113432-ayush-badoni-playerprofile"/>
    <x v="1"/>
    <n v="0.2"/>
    <x v="206"/>
    <s v="December 3, 1999 Delhi"/>
    <s v="22 Years, 3 Months, 13 Days"/>
    <x v="0"/>
    <x v="0"/>
    <s v="Off break"/>
    <m/>
    <m/>
    <m/>
    <m/>
    <x v="6"/>
    <x v="6"/>
    <m/>
    <m/>
    <m/>
    <m/>
    <m/>
    <m/>
    <m/>
    <m/>
    <m/>
    <m/>
    <m/>
    <m/>
    <m/>
    <m/>
    <m/>
    <x v="0"/>
    <m/>
    <m/>
    <m/>
    <m/>
    <m/>
    <m/>
  </r>
  <r>
    <x v="211"/>
    <x v="8"/>
    <s v="https://sports.ndtv.com/cricket/players/113438-karan-sharma-playerprofile"/>
    <x v="1"/>
    <n v="0.2"/>
    <x v="207"/>
    <d v="1998-10-31T00:00:00"/>
    <s v="23 Years, 4 Months, 15 Days"/>
    <x v="0"/>
    <x v="0"/>
    <s v="Off break"/>
    <m/>
    <m/>
    <m/>
    <m/>
    <x v="6"/>
    <x v="6"/>
    <m/>
    <m/>
    <m/>
    <m/>
    <m/>
    <m/>
    <m/>
    <m/>
    <m/>
    <m/>
    <m/>
    <m/>
    <m/>
    <m/>
    <m/>
    <x v="0"/>
    <m/>
    <m/>
    <m/>
    <m/>
    <m/>
    <m/>
  </r>
  <r>
    <x v="212"/>
    <x v="8"/>
    <s v="https://sports.ndtv.com/cricket/players/115355-mayank-yadav-playerprofile"/>
    <x v="2"/>
    <n v="0.2"/>
    <x v="208"/>
    <s v="June 17, 2002 New Delhi"/>
    <s v="19 Years, 8 Months, 28 Days"/>
    <x v="0"/>
    <x v="0"/>
    <s v="Right-arm medium fast"/>
    <m/>
    <m/>
    <m/>
    <m/>
    <x v="6"/>
    <x v="6"/>
    <m/>
    <m/>
    <m/>
    <m/>
    <m/>
    <m/>
    <m/>
    <m/>
    <m/>
    <m/>
    <m/>
    <m/>
    <m/>
    <m/>
    <m/>
    <x v="0"/>
    <m/>
    <m/>
    <m/>
    <m/>
    <m/>
    <m/>
  </r>
  <r>
    <x v="213"/>
    <x v="8"/>
    <s v="https://sports.ndtv.com/cricket/players/1689-manan-vohra-playerprofile"/>
    <x v="0"/>
    <n v="0.2"/>
    <x v="209"/>
    <s v="July 18, 1993 Chandigarh, Punjab"/>
    <s v="28 Years, 7 Months, 28 Days"/>
    <x v="0"/>
    <x v="0"/>
    <s v="Right-arm medium"/>
    <m/>
    <n v="53"/>
    <n v="49"/>
    <n v="2"/>
    <x v="116"/>
    <x v="132"/>
    <n v="0"/>
    <n v="3"/>
    <n v="102"/>
    <n v="41"/>
    <n v="22.42"/>
    <n v="130.6"/>
    <n v="13"/>
    <n v="0"/>
    <n v="3"/>
    <n v="4"/>
    <m/>
    <m/>
    <m/>
    <m/>
    <m/>
    <x v="0"/>
    <m/>
    <m/>
    <m/>
    <m/>
    <m/>
    <m/>
  </r>
  <r>
    <x v="214"/>
    <x v="9"/>
    <s v="https://sports.ndtv.com/cricket/players/107477-rashid-khan-playerprofile"/>
    <x v="2"/>
    <n v="15"/>
    <x v="210"/>
    <s v="September 20, 1998 Nangarhar"/>
    <s v="23 Years, 5 Months, 25 Days"/>
    <x v="7"/>
    <x v="0"/>
    <s v="Leg break googly"/>
    <s v="IPL"/>
    <n v="76"/>
    <n v="35"/>
    <n v="11"/>
    <x v="19"/>
    <x v="133"/>
    <n v="0"/>
    <n v="0"/>
    <n v="17"/>
    <n v="13"/>
    <n v="9.25"/>
    <n v="137.03"/>
    <n v="20"/>
    <n v="0"/>
    <n v="11"/>
    <n v="2"/>
    <n v="76"/>
    <n v="302"/>
    <n v="4"/>
    <n v="1912"/>
    <n v="93"/>
    <x v="108"/>
    <n v="10"/>
    <n v="0"/>
    <n v="20.55"/>
    <n v="6.33"/>
    <n v="19.48"/>
    <n v="76"/>
  </r>
  <r>
    <x v="215"/>
    <x v="9"/>
    <s v="https://sports.ndtv.com/cricket/players/64177-hardik-himanshu-pandya-playerprofile"/>
    <x v="1"/>
    <n v="15"/>
    <x v="211"/>
    <s v="October 11, 1993 Choryasi, Gujarat"/>
    <s v="28 Years, 5 Months, 4 Days"/>
    <x v="0"/>
    <x v="0"/>
    <s v="Right-arm medium fast"/>
    <s v="IPL"/>
    <n v="92"/>
    <n v="85"/>
    <n v="31"/>
    <x v="117"/>
    <x v="134"/>
    <n v="0"/>
    <n v="4"/>
    <n v="97"/>
    <n v="98"/>
    <n v="27.33"/>
    <n v="153.91"/>
    <n v="53"/>
    <n v="0"/>
    <n v="5"/>
    <n v="1"/>
    <n v="60"/>
    <n v="144.5"/>
    <n v="0"/>
    <n v="1313"/>
    <n v="42"/>
    <x v="109"/>
    <n v="3"/>
    <n v="0"/>
    <n v="31.26"/>
    <n v="9.06"/>
    <n v="20.69"/>
    <n v="60"/>
  </r>
  <r>
    <x v="216"/>
    <x v="9"/>
    <s v="https://sports.ndtv.com/cricket/players/64149-lachlan-hammond-ferguson-playerprofile"/>
    <x v="2"/>
    <n v="10"/>
    <x v="212"/>
    <s v="June 13, 1991 Auckland"/>
    <s v="30 Years, 9 Months, 3 Days"/>
    <x v="6"/>
    <x v="0"/>
    <s v="Right-arm fast"/>
    <s v="IPL"/>
    <n v="22"/>
    <n v="6"/>
    <n v="6"/>
    <x v="118"/>
    <x v="42"/>
    <n v="0"/>
    <n v="0"/>
    <n v="5"/>
    <n v="2"/>
    <m/>
    <n v="151.22"/>
    <n v="3"/>
    <n v="0"/>
    <n v="2"/>
    <n v="0"/>
    <n v="22"/>
    <n v="79.5"/>
    <n v="1"/>
    <n v="648"/>
    <n v="24"/>
    <x v="110"/>
    <n v="2"/>
    <n v="0"/>
    <n v="27"/>
    <n v="8.11"/>
    <n v="19.95"/>
    <n v="22"/>
  </r>
  <r>
    <x v="217"/>
    <x v="9"/>
    <s v="https://sports.ndtv.com/cricket/players/64845-rahul-tewatia-playerprofile"/>
    <x v="1"/>
    <n v="9"/>
    <x v="62"/>
    <m/>
    <m/>
    <x v="8"/>
    <x v="2"/>
    <m/>
    <m/>
    <m/>
    <m/>
    <m/>
    <x v="6"/>
    <x v="6"/>
    <m/>
    <m/>
    <m/>
    <m/>
    <m/>
    <m/>
    <m/>
    <m/>
    <m/>
    <m/>
    <m/>
    <m/>
    <m/>
    <m/>
    <m/>
    <x v="0"/>
    <m/>
    <m/>
    <m/>
    <m/>
    <m/>
    <m/>
  </r>
  <r>
    <x v="218"/>
    <x v="9"/>
    <s v="https://sports.ndtv.com/cricket/players/108578-shubman-gill-playerprofile"/>
    <x v="0"/>
    <n v="8"/>
    <x v="213"/>
    <s v="September 8, 1999 Fazilka, Punjab"/>
    <s v="22 Years, 6 Months, 8 Days"/>
    <x v="0"/>
    <x v="0"/>
    <s v="Off break"/>
    <m/>
    <n v="58"/>
    <n v="55"/>
    <n v="10"/>
    <x v="119"/>
    <x v="135"/>
    <n v="0"/>
    <n v="10"/>
    <n v="137"/>
    <n v="36"/>
    <n v="31.48"/>
    <n v="123"/>
    <n v="23"/>
    <n v="0"/>
    <n v="2"/>
    <n v="6"/>
    <m/>
    <m/>
    <m/>
    <m/>
    <m/>
    <x v="0"/>
    <m/>
    <m/>
    <m/>
    <m/>
    <m/>
    <m/>
  </r>
  <r>
    <x v="219"/>
    <x v="9"/>
    <s v="https://sports.ndtv.com/cricket/players/1580-shami-ahmed-playerprofile"/>
    <x v="2"/>
    <n v="6.25"/>
    <x v="214"/>
    <s v="September 3, 1990 Amroha, Uttar Pradesh"/>
    <s v="31 Years, 6 Months, 12 Days"/>
    <x v="0"/>
    <x v="0"/>
    <s v="Right-arm fast"/>
    <s v="IPL"/>
    <n v="77"/>
    <n v="23"/>
    <n v="12"/>
    <x v="120"/>
    <x v="136"/>
    <n v="0"/>
    <n v="0"/>
    <n v="5"/>
    <n v="2"/>
    <n v="6.27"/>
    <n v="94.52"/>
    <n v="11"/>
    <n v="0"/>
    <n v="7"/>
    <n v="2"/>
    <n v="77"/>
    <n v="278.2"/>
    <n v="1"/>
    <n v="2402"/>
    <n v="79"/>
    <x v="111"/>
    <n v="6"/>
    <n v="0"/>
    <n v="30.4"/>
    <n v="8.6199999999999992"/>
    <n v="21.13"/>
    <n v="77"/>
  </r>
  <r>
    <x v="220"/>
    <x v="9"/>
    <s v="https://sports.ndtv.com/cricket/players/115307-yash-dayal-playerprofile"/>
    <x v="2"/>
    <n v="3.2"/>
    <x v="215"/>
    <d v="1997-12-13T00:00:00"/>
    <s v="24 Years, 3 Months, 2 Days"/>
    <x v="0"/>
    <x v="1"/>
    <s v="Left-arm medium fast"/>
    <m/>
    <m/>
    <m/>
    <m/>
    <x v="6"/>
    <x v="6"/>
    <m/>
    <m/>
    <m/>
    <m/>
    <m/>
    <m/>
    <m/>
    <m/>
    <m/>
    <m/>
    <m/>
    <m/>
    <m/>
    <m/>
    <m/>
    <x v="0"/>
    <m/>
    <m/>
    <m/>
    <m/>
    <m/>
    <m/>
  </r>
  <r>
    <x v="221"/>
    <x v="9"/>
    <s v="https://sports.ndtv.com/cricket/players/107511-ravisrinivasan-sai-kishore-playerprofile"/>
    <x v="2"/>
    <n v="3"/>
    <x v="216"/>
    <s v="November 6, 1996 Chennai, Tamil Nadu"/>
    <s v="25 Years, 4 Months, 9 Days"/>
    <x v="0"/>
    <x v="1"/>
    <s v="Slow left-arm orthodox"/>
    <m/>
    <m/>
    <m/>
    <m/>
    <x v="6"/>
    <x v="6"/>
    <m/>
    <m/>
    <m/>
    <m/>
    <m/>
    <m/>
    <m/>
    <m/>
    <m/>
    <m/>
    <m/>
    <m/>
    <m/>
    <m/>
    <m/>
    <x v="0"/>
    <m/>
    <m/>
    <m/>
    <m/>
    <m/>
    <m/>
  </r>
  <r>
    <x v="222"/>
    <x v="9"/>
    <s v="https://sports.ndtv.com/cricket/players/1274-david-miller-playerprofile"/>
    <x v="0"/>
    <n v="3"/>
    <x v="217"/>
    <s v="June 10, 1989 Pietermaritzburg, Natal"/>
    <s v="32 Years, 9 Months, 5 Days"/>
    <x v="2"/>
    <x v="1"/>
    <s v="Off break"/>
    <m/>
    <n v="89"/>
    <n v="86"/>
    <n v="26"/>
    <x v="121"/>
    <x v="137"/>
    <n v="1"/>
    <n v="10"/>
    <n v="137"/>
    <n v="90"/>
    <n v="32.9"/>
    <n v="136.51"/>
    <n v="53"/>
    <n v="0"/>
    <n v="3"/>
    <n v="3"/>
    <m/>
    <m/>
    <m/>
    <m/>
    <m/>
    <x v="0"/>
    <m/>
    <m/>
    <m/>
    <m/>
    <m/>
    <m/>
  </r>
  <r>
    <x v="223"/>
    <x v="9"/>
    <s v="https://sports.ndtv.com/cricket/players/64145-abhinav-manohar-playerprofile"/>
    <x v="0"/>
    <n v="2.6"/>
    <x v="218"/>
    <s v="September 16, 1994 Bangalore"/>
    <s v="27 Years, 6 Months, -1 Days"/>
    <x v="0"/>
    <x v="0"/>
    <s v="Leg break googly"/>
    <m/>
    <m/>
    <m/>
    <m/>
    <x v="6"/>
    <x v="6"/>
    <m/>
    <m/>
    <m/>
    <m/>
    <m/>
    <m/>
    <m/>
    <m/>
    <m/>
    <m/>
    <m/>
    <m/>
    <m/>
    <m/>
    <m/>
    <x v="0"/>
    <m/>
    <m/>
    <m/>
    <m/>
    <m/>
    <m/>
  </r>
  <r>
    <x v="224"/>
    <x v="9"/>
    <s v="https://sports.ndtv.com/cricket/players/64674-alzarri-joseph-playerprofile"/>
    <x v="2"/>
    <n v="2.4"/>
    <x v="219"/>
    <s v="November 20, 1996 Antigua"/>
    <s v="25 Years, 3 Months, 25 Days"/>
    <x v="3"/>
    <x v="0"/>
    <s v="Right-arm fast medium"/>
    <s v="IPL"/>
    <n v="3"/>
    <n v="2"/>
    <n v="2"/>
    <x v="23"/>
    <x v="138"/>
    <n v="0"/>
    <n v="0"/>
    <n v="2"/>
    <n v="0"/>
    <m/>
    <n v="115.38"/>
    <n v="1"/>
    <n v="0"/>
    <n v="1"/>
    <n v="0"/>
    <n v="3"/>
    <n v="8.4"/>
    <n v="1"/>
    <n v="87"/>
    <n v="6"/>
    <x v="112"/>
    <n v="0"/>
    <n v="1"/>
    <n v="14.5"/>
    <n v="10.029999999999999"/>
    <n v="8.66"/>
    <n v="3"/>
  </r>
  <r>
    <x v="225"/>
    <x v="9"/>
    <s v="https://sports.ndtv.com/cricket/players/1010-matthew-wade-playerprofile"/>
    <x v="3"/>
    <n v="2.4"/>
    <x v="220"/>
    <s v="December 26, 1987 Hobart, Tasmania"/>
    <s v="34 Years, 2 Months, 21 Days"/>
    <x v="4"/>
    <x v="1"/>
    <s v="Right-arm medium"/>
    <m/>
    <n v="3"/>
    <n v="3"/>
    <n v="0"/>
    <x v="103"/>
    <x v="139"/>
    <n v="0"/>
    <n v="0"/>
    <n v="0"/>
    <n v="0"/>
    <n v="7.33"/>
    <n v="66.66"/>
    <m/>
    <m/>
    <n v="0"/>
    <n v="0"/>
    <m/>
    <m/>
    <m/>
    <m/>
    <m/>
    <x v="0"/>
    <m/>
    <m/>
    <m/>
    <m/>
    <m/>
    <m/>
  </r>
  <r>
    <x v="226"/>
    <x v="9"/>
    <s v="https://sports.ndtv.com/cricket/players/16312-jason-jonathan-roy-playerprofile"/>
    <x v="0"/>
    <n v="2"/>
    <x v="221"/>
    <s v="July 21, 1990 Durban, South Africa"/>
    <s v="31 Years, 7 Months, 25 Days"/>
    <x v="1"/>
    <x v="0"/>
    <m/>
    <m/>
    <n v="13"/>
    <n v="13"/>
    <n v="2"/>
    <x v="122"/>
    <x v="140"/>
    <n v="0"/>
    <n v="2"/>
    <n v="39"/>
    <n v="9"/>
    <n v="29.9"/>
    <n v="129.02000000000001"/>
    <n v="8"/>
    <n v="0"/>
    <n v="0"/>
    <n v="0"/>
    <m/>
    <m/>
    <m/>
    <m/>
    <m/>
    <x v="0"/>
    <m/>
    <m/>
    <m/>
    <m/>
    <m/>
    <m/>
  </r>
  <r>
    <x v="227"/>
    <x v="9"/>
    <s v="https://sports.ndtv.com/cricket/players/1088-wriddhiman-saha-playerprofile"/>
    <x v="3"/>
    <n v="1.9"/>
    <x v="222"/>
    <s v="October 24, 1984 Shaktigarh"/>
    <s v="37 Years, 4 Months, 22 Days"/>
    <x v="0"/>
    <x v="0"/>
    <m/>
    <m/>
    <n v="133"/>
    <n v="108"/>
    <n v="22"/>
    <x v="123"/>
    <x v="141"/>
    <n v="1"/>
    <n v="8"/>
    <n v="191"/>
    <n v="69"/>
    <n v="24.53"/>
    <n v="128.72999999999999"/>
    <n v="69"/>
    <n v="20"/>
    <n v="6"/>
    <n v="8"/>
    <m/>
    <m/>
    <m/>
    <m/>
    <m/>
    <x v="0"/>
    <m/>
    <m/>
    <m/>
    <m/>
    <m/>
    <m/>
  </r>
  <r>
    <x v="228"/>
    <x v="9"/>
    <s v="https://sports.ndtv.com/cricket/players/60086-jayant-yadav-playerprofile"/>
    <x v="1"/>
    <n v="1.7"/>
    <x v="223"/>
    <s v="January 22, 1990 Delhi"/>
    <s v="32 Years, 1 Months, 21 Days"/>
    <x v="0"/>
    <x v="0"/>
    <s v="Off break"/>
    <s v="IPL"/>
    <n v="19"/>
    <n v="5"/>
    <n v="1"/>
    <x v="124"/>
    <x v="142"/>
    <n v="0"/>
    <n v="0"/>
    <n v="2"/>
    <n v="1"/>
    <n v="10"/>
    <n v="111.11"/>
    <n v="6"/>
    <n v="0"/>
    <n v="1"/>
    <n v="2"/>
    <n v="19"/>
    <n v="61"/>
    <n v="0"/>
    <n v="419"/>
    <n v="8"/>
    <x v="113"/>
    <n v="0"/>
    <n v="0"/>
    <n v="52.37"/>
    <n v="6.86"/>
    <n v="45.75"/>
    <n v="19"/>
  </r>
  <r>
    <x v="229"/>
    <x v="9"/>
    <s v="https://sports.ndtv.com/cricket/players/62197-vijay-shankar-playerprofile"/>
    <x v="1"/>
    <n v="1.4"/>
    <x v="224"/>
    <s v="January 26, 1991 Tirunelveli, Tamil Nadu"/>
    <s v="31 Years, 1 Months, 18 Days"/>
    <x v="0"/>
    <x v="0"/>
    <s v="Right-arm medium"/>
    <s v="IPL"/>
    <n v="47"/>
    <n v="39"/>
    <n v="12"/>
    <x v="125"/>
    <x v="143"/>
    <n v="0"/>
    <n v="3"/>
    <n v="45"/>
    <n v="28"/>
    <n v="26.37"/>
    <n v="126.24"/>
    <n v="21"/>
    <n v="0"/>
    <n v="3"/>
    <n v="1"/>
    <n v="20"/>
    <n v="38.1"/>
    <n v="0"/>
    <n v="329"/>
    <n v="9"/>
    <x v="114"/>
    <n v="0"/>
    <n v="0"/>
    <n v="36.549999999999997"/>
    <n v="8.6199999999999992"/>
    <n v="25.44"/>
    <n v="20"/>
  </r>
  <r>
    <x v="230"/>
    <x v="9"/>
    <s v="https://sports.ndtv.com/cricket/players/114349-dominic-drakes-playerprofile"/>
    <x v="1"/>
    <n v="1.1000000000000001"/>
    <x v="225"/>
    <d v="1998-02-06T00:00:00"/>
    <s v="24 Years, 1 Months, 6 Days"/>
    <x v="3"/>
    <x v="1"/>
    <s v="Left-arm fast medium"/>
    <m/>
    <m/>
    <m/>
    <m/>
    <x v="6"/>
    <x v="6"/>
    <m/>
    <m/>
    <m/>
    <m/>
    <m/>
    <m/>
    <m/>
    <m/>
    <m/>
    <m/>
    <m/>
    <m/>
    <m/>
    <m/>
    <m/>
    <x v="0"/>
    <m/>
    <m/>
    <m/>
    <m/>
    <m/>
    <m/>
  </r>
  <r>
    <x v="231"/>
    <x v="9"/>
    <s v="https://sports.ndtv.com/cricket/players/1252-varun-aaron-playerprofile"/>
    <x v="2"/>
    <n v="0.5"/>
    <x v="226"/>
    <s v="October 29, 1989 Singhbhum, Bihar (now Jharkhand)"/>
    <s v="32 Years, 4 Months, 17 Days"/>
    <x v="0"/>
    <x v="0"/>
    <s v="Right-arm fast"/>
    <s v="IPL"/>
    <n v="50"/>
    <n v="13"/>
    <n v="8"/>
    <x v="11"/>
    <x v="144"/>
    <n v="0"/>
    <n v="0"/>
    <n v="2"/>
    <n v="2"/>
    <n v="10"/>
    <n v="69.44"/>
    <n v="3"/>
    <n v="0"/>
    <n v="5"/>
    <n v="2"/>
    <n v="48"/>
    <n v="160.4"/>
    <n v="2"/>
    <n v="1429"/>
    <n v="42"/>
    <x v="115"/>
    <n v="1"/>
    <n v="0"/>
    <n v="34.020000000000003"/>
    <n v="8.89"/>
    <n v="22.95"/>
    <n v="48"/>
  </r>
  <r>
    <x v="232"/>
    <x v="9"/>
    <s v="https://sports.ndtv.com/cricket/players/1661-gurkeerat-singh-playerprofile"/>
    <x v="1"/>
    <n v="0.5"/>
    <x v="227"/>
    <s v="June 29, 1990 Muktsar, Punjab"/>
    <s v="31 Years, 8 Months, 16 Days"/>
    <x v="0"/>
    <x v="0"/>
    <s v="Off break"/>
    <s v="IPL"/>
    <n v="41"/>
    <n v="32"/>
    <n v="8"/>
    <x v="126"/>
    <x v="145"/>
    <n v="0"/>
    <n v="2"/>
    <n v="55"/>
    <n v="11"/>
    <n v="21.29"/>
    <n v="121.09"/>
    <n v="19"/>
    <n v="1"/>
    <n v="4"/>
    <n v="1"/>
    <n v="6"/>
    <n v="13"/>
    <n v="0"/>
    <n v="97"/>
    <n v="5"/>
    <x v="116"/>
    <n v="0"/>
    <n v="0"/>
    <n v="19.399999999999999"/>
    <n v="7.46"/>
    <n v="15.6"/>
    <n v="6"/>
  </r>
  <r>
    <x v="233"/>
    <x v="9"/>
    <s v="https://sports.ndtv.com/cricket/players/112545-noor-ahmad-playerprofile"/>
    <x v="2"/>
    <n v="0.3"/>
    <x v="228"/>
    <d v="2005-01-03T00:00:00"/>
    <s v="17 Years, 2 Months, 12 Days"/>
    <x v="7"/>
    <x v="0"/>
    <s v="Slow left-arm chinaman"/>
    <m/>
    <m/>
    <m/>
    <m/>
    <x v="6"/>
    <x v="6"/>
    <m/>
    <m/>
    <m/>
    <m/>
    <m/>
    <m/>
    <m/>
    <m/>
    <m/>
    <m/>
    <m/>
    <m/>
    <m/>
    <m/>
    <m/>
    <x v="0"/>
    <m/>
    <m/>
    <m/>
    <m/>
    <m/>
    <m/>
  </r>
  <r>
    <x v="234"/>
    <x v="9"/>
    <s v="https://sports.ndtv.com/cricket/players/110589-darshan-nalkande-playerprofile"/>
    <x v="1"/>
    <n v="0.2"/>
    <x v="229"/>
    <s v="October 4, 1998 Wardha, Maharashtra"/>
    <s v="23 Years, 5 Months, 11 Days"/>
    <x v="0"/>
    <x v="0"/>
    <s v="Right-arm fast medium"/>
    <m/>
    <m/>
    <m/>
    <m/>
    <x v="6"/>
    <x v="6"/>
    <m/>
    <m/>
    <m/>
    <m/>
    <m/>
    <m/>
    <m/>
    <m/>
    <m/>
    <m/>
    <m/>
    <m/>
    <m/>
    <m/>
    <m/>
    <x v="0"/>
    <m/>
    <m/>
    <m/>
    <m/>
    <m/>
    <m/>
  </r>
  <r>
    <x v="235"/>
    <x v="9"/>
    <s v="https://sports.ndtv.com/cricket/players/115302-sai-sudharsan-playerprofile"/>
    <x v="1"/>
    <n v="0.2"/>
    <x v="230"/>
    <d v="2001-10-15T00:00:00"/>
    <s v="20 Years, 5 Months, 0 Days"/>
    <x v="0"/>
    <x v="1"/>
    <s v="Leg break"/>
    <m/>
    <m/>
    <m/>
    <m/>
    <x v="6"/>
    <x v="6"/>
    <m/>
    <m/>
    <m/>
    <m/>
    <m/>
    <m/>
    <m/>
    <m/>
    <m/>
    <m/>
    <m/>
    <m/>
    <m/>
    <m/>
    <m/>
    <x v="0"/>
    <m/>
    <m/>
    <m/>
    <m/>
    <m/>
    <m/>
  </r>
  <r>
    <x v="236"/>
    <x v="9"/>
    <s v="https://sports.ndtv.com/cricket/players/1047-pradeep-sangwan-playerprofile"/>
    <x v="1"/>
    <n v="0.2"/>
    <x v="231"/>
    <s v="November 5, 1990 Rasiwas, Delhi"/>
    <s v="31 Years, 4 Months, 10 Days"/>
    <x v="0"/>
    <x v="0"/>
    <s v="Left-arm medium"/>
    <s v="IPL"/>
    <n v="39"/>
    <n v="14"/>
    <n v="7"/>
    <x v="41"/>
    <x v="146"/>
    <n v="0"/>
    <n v="0"/>
    <n v="1"/>
    <n v="0"/>
    <n v="3.42"/>
    <n v="61.53"/>
    <n v="6"/>
    <n v="0"/>
    <n v="6"/>
    <n v="1"/>
    <n v="39"/>
    <n v="133.4"/>
    <n v="1"/>
    <n v="1175"/>
    <n v="35"/>
    <x v="117"/>
    <n v="3"/>
    <n v="0"/>
    <n v="33.57"/>
    <n v="8.7899999999999991"/>
    <n v="22.91"/>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E3B82C-37F6-4CA2-862A-8F99B9A89098}"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1" firstHeaderRow="1" firstDataRow="1" firstDataCol="1"/>
  <pivotFields count="39">
    <pivotField axis="axisRow" showAll="0" measureFilter="1" sortType="ascending">
      <items count="238">
        <item x="34"/>
        <item x="162"/>
        <item x="223"/>
        <item x="30"/>
        <item x="130"/>
        <item x="37"/>
        <item x="157"/>
        <item x="92"/>
        <item x="155"/>
        <item x="224"/>
        <item x="167"/>
        <item x="123"/>
        <item x="145"/>
        <item x="91"/>
        <item x="208"/>
        <item x="114"/>
        <item x="174"/>
        <item x="21"/>
        <item x="80"/>
        <item x="163"/>
        <item x="71"/>
        <item x="112"/>
        <item x="116"/>
        <item x="8"/>
        <item x="115"/>
        <item x="160"/>
        <item x="189"/>
        <item x="20"/>
        <item x="194"/>
        <item x="171"/>
        <item x="210"/>
        <item x="168"/>
        <item x="24"/>
        <item x="111"/>
        <item x="17"/>
        <item x="140"/>
        <item x="15"/>
        <item x="31"/>
        <item x="90"/>
        <item x="161"/>
        <item x="177"/>
        <item x="127"/>
        <item x="102"/>
        <item x="234"/>
        <item x="64"/>
        <item x="222"/>
        <item x="175"/>
        <item x="82"/>
        <item x="120"/>
        <item x="200"/>
        <item x="53"/>
        <item x="133"/>
        <item x="101"/>
        <item x="68"/>
        <item x="79"/>
        <item x="230"/>
        <item x="204"/>
        <item x="135"/>
        <item x="125"/>
        <item x="203"/>
        <item x="108"/>
        <item x="77"/>
        <item x="41"/>
        <item x="85"/>
        <item x="73"/>
        <item x="39"/>
        <item x="232"/>
        <item x="215"/>
        <item x="142"/>
        <item x="9"/>
        <item x="74"/>
        <item x="118"/>
        <item x="95"/>
        <item x="18"/>
        <item x="45"/>
        <item x="60"/>
        <item x="86"/>
        <item x="196"/>
        <item x="226"/>
        <item x="96"/>
        <item x="228"/>
        <item x="106"/>
        <item x="22"/>
        <item x="98"/>
        <item x="5"/>
        <item x="50"/>
        <item x="76"/>
        <item x="2"/>
        <item x="182"/>
        <item x="25"/>
        <item x="211"/>
        <item x="88"/>
        <item x="36"/>
        <item x="61"/>
        <item x="65"/>
        <item x="176"/>
        <item x="100"/>
        <item x="193"/>
        <item x="137"/>
        <item x="205"/>
        <item x="197"/>
        <item x="69"/>
        <item x="179"/>
        <item x="67"/>
        <item x="206"/>
        <item x="184"/>
        <item x="1"/>
        <item x="216"/>
        <item x="186"/>
        <item x="93"/>
        <item x="134"/>
        <item x="84"/>
        <item x="213"/>
        <item x="183"/>
        <item x="201"/>
        <item x="32"/>
        <item x="195"/>
        <item x="198"/>
        <item x="225"/>
        <item x="0"/>
        <item x="109"/>
        <item x="212"/>
        <item x="173"/>
        <item x="129"/>
        <item x="122"/>
        <item x="156"/>
        <item x="219"/>
        <item x="78"/>
        <item x="209"/>
        <item x="121"/>
        <item x="143"/>
        <item x="104"/>
        <item x="181"/>
        <item x="136"/>
        <item x="59"/>
        <item x="12"/>
        <item x="58"/>
        <item x="26"/>
        <item x="146"/>
        <item x="233"/>
        <item x="63"/>
        <item x="6"/>
        <item x="150"/>
        <item x="13"/>
        <item x="236"/>
        <item x="132"/>
        <item x="49"/>
        <item x="164"/>
        <item x="188"/>
        <item x="19"/>
        <item x="172"/>
        <item x="43"/>
        <item x="199"/>
        <item x="117"/>
        <item x="7"/>
        <item x="217"/>
        <item x="28"/>
        <item x="11"/>
        <item x="131"/>
        <item x="113"/>
        <item x="166"/>
        <item x="214"/>
        <item x="165"/>
        <item x="62"/>
        <item x="202"/>
        <item x="55"/>
        <item x="47"/>
        <item x="119"/>
        <item x="221"/>
        <item x="107"/>
        <item x="159"/>
        <item x="190"/>
        <item x="169"/>
        <item x="14"/>
        <item x="57"/>
        <item x="128"/>
        <item x="94"/>
        <item x="29"/>
        <item x="178"/>
        <item x="124"/>
        <item x="235"/>
        <item x="153"/>
        <item x="16"/>
        <item x="110"/>
        <item x="48"/>
        <item x="192"/>
        <item x="44"/>
        <item x="38"/>
        <item x="81"/>
        <item x="207"/>
        <item x="3"/>
        <item x="170"/>
        <item x="46"/>
        <item x="158"/>
        <item x="83"/>
        <item x="4"/>
        <item x="51"/>
        <item x="126"/>
        <item x="149"/>
        <item x="40"/>
        <item x="144"/>
        <item x="70"/>
        <item x="218"/>
        <item x="87"/>
        <item x="141"/>
        <item x="180"/>
        <item x="139"/>
        <item x="151"/>
        <item x="99"/>
        <item x="89"/>
        <item x="35"/>
        <item x="66"/>
        <item x="103"/>
        <item x="97"/>
        <item x="187"/>
        <item x="154"/>
        <item x="52"/>
        <item x="138"/>
        <item x="105"/>
        <item x="152"/>
        <item x="33"/>
        <item x="10"/>
        <item x="231"/>
        <item x="147"/>
        <item x="148"/>
        <item x="191"/>
        <item x="229"/>
        <item x="72"/>
        <item x="42"/>
        <item x="75"/>
        <item x="27"/>
        <item x="227"/>
        <item x="23"/>
        <item x="220"/>
        <item x="185"/>
        <item x="56"/>
        <item x="54"/>
        <item t="default"/>
      </items>
      <autoSortScope>
        <pivotArea dataOnly="0" outline="0" fieldPosition="0">
          <references count="1">
            <reference field="4294967294" count="1" selected="0">
              <x v="0"/>
            </reference>
          </references>
        </pivotArea>
      </autoSortScope>
    </pivotField>
    <pivotField showAll="0" sortType="descending">
      <items count="11">
        <item h="1" x="5"/>
        <item h="1" x="7"/>
        <item h="1" x="9"/>
        <item h="1" x="6"/>
        <item h="1" x="8"/>
        <item h="1" x="4"/>
        <item h="1" x="0"/>
        <item x="3"/>
        <item h="1" x="2"/>
        <item h="1"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203"/>
    </i>
    <i>
      <x v="70"/>
    </i>
    <i>
      <x v="91"/>
    </i>
    <i>
      <x v="64"/>
    </i>
    <i>
      <x v="61"/>
    </i>
    <i>
      <x v="227"/>
    </i>
    <i>
      <x v="54"/>
    </i>
    <i t="grand">
      <x/>
    </i>
  </rowItems>
  <colItems count="1">
    <i/>
  </colItems>
  <dataFields count="1">
    <dataField name="Sum of MatchPlayed" fld="1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9"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8BEC9-3EBC-4A9B-B09F-642E04F553E9}"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39">
    <pivotField axis="axisRow" showAll="0" measureFilter="1" sortType="descending">
      <items count="238">
        <item x="34"/>
        <item x="162"/>
        <item x="223"/>
        <item x="30"/>
        <item x="130"/>
        <item x="37"/>
        <item x="157"/>
        <item x="92"/>
        <item x="155"/>
        <item x="224"/>
        <item x="167"/>
        <item x="123"/>
        <item x="145"/>
        <item x="91"/>
        <item x="208"/>
        <item x="114"/>
        <item x="174"/>
        <item x="21"/>
        <item x="80"/>
        <item x="163"/>
        <item x="71"/>
        <item x="112"/>
        <item x="116"/>
        <item x="8"/>
        <item x="115"/>
        <item x="160"/>
        <item x="189"/>
        <item x="20"/>
        <item x="194"/>
        <item x="171"/>
        <item x="210"/>
        <item x="168"/>
        <item x="24"/>
        <item x="111"/>
        <item x="17"/>
        <item x="140"/>
        <item x="15"/>
        <item x="31"/>
        <item x="90"/>
        <item x="161"/>
        <item x="177"/>
        <item x="127"/>
        <item x="102"/>
        <item x="234"/>
        <item x="64"/>
        <item x="222"/>
        <item x="175"/>
        <item x="82"/>
        <item x="120"/>
        <item x="200"/>
        <item x="53"/>
        <item x="133"/>
        <item x="101"/>
        <item x="68"/>
        <item x="79"/>
        <item x="230"/>
        <item x="204"/>
        <item x="135"/>
        <item x="125"/>
        <item x="203"/>
        <item x="108"/>
        <item x="77"/>
        <item x="41"/>
        <item x="85"/>
        <item x="73"/>
        <item x="39"/>
        <item x="232"/>
        <item x="215"/>
        <item x="142"/>
        <item x="9"/>
        <item x="74"/>
        <item x="118"/>
        <item x="95"/>
        <item x="18"/>
        <item x="45"/>
        <item x="60"/>
        <item x="86"/>
        <item x="196"/>
        <item x="226"/>
        <item x="96"/>
        <item x="228"/>
        <item x="106"/>
        <item x="22"/>
        <item x="98"/>
        <item x="5"/>
        <item x="50"/>
        <item x="76"/>
        <item x="2"/>
        <item x="182"/>
        <item x="25"/>
        <item x="211"/>
        <item x="88"/>
        <item x="36"/>
        <item x="61"/>
        <item x="65"/>
        <item x="176"/>
        <item x="100"/>
        <item x="193"/>
        <item x="137"/>
        <item x="205"/>
        <item x="197"/>
        <item x="69"/>
        <item x="179"/>
        <item x="67"/>
        <item x="206"/>
        <item x="184"/>
        <item x="1"/>
        <item x="216"/>
        <item x="186"/>
        <item x="93"/>
        <item x="134"/>
        <item x="84"/>
        <item x="213"/>
        <item x="183"/>
        <item x="201"/>
        <item x="32"/>
        <item x="195"/>
        <item x="198"/>
        <item x="225"/>
        <item x="0"/>
        <item x="109"/>
        <item x="212"/>
        <item x="173"/>
        <item x="129"/>
        <item x="122"/>
        <item x="156"/>
        <item x="219"/>
        <item x="78"/>
        <item x="209"/>
        <item x="121"/>
        <item x="143"/>
        <item x="104"/>
        <item x="181"/>
        <item x="136"/>
        <item x="59"/>
        <item x="12"/>
        <item x="58"/>
        <item x="26"/>
        <item x="146"/>
        <item x="233"/>
        <item x="63"/>
        <item x="6"/>
        <item x="150"/>
        <item x="13"/>
        <item x="236"/>
        <item x="132"/>
        <item x="49"/>
        <item x="164"/>
        <item x="188"/>
        <item x="19"/>
        <item x="172"/>
        <item x="43"/>
        <item x="199"/>
        <item x="117"/>
        <item x="7"/>
        <item x="217"/>
        <item x="28"/>
        <item x="11"/>
        <item x="131"/>
        <item x="113"/>
        <item x="166"/>
        <item x="214"/>
        <item x="165"/>
        <item x="62"/>
        <item x="202"/>
        <item x="55"/>
        <item x="47"/>
        <item x="119"/>
        <item x="221"/>
        <item x="107"/>
        <item x="159"/>
        <item x="190"/>
        <item x="169"/>
        <item x="14"/>
        <item x="57"/>
        <item x="128"/>
        <item x="94"/>
        <item x="29"/>
        <item x="178"/>
        <item x="124"/>
        <item x="235"/>
        <item x="153"/>
        <item x="16"/>
        <item x="110"/>
        <item x="48"/>
        <item x="192"/>
        <item x="44"/>
        <item x="38"/>
        <item x="81"/>
        <item x="207"/>
        <item x="3"/>
        <item x="170"/>
        <item x="46"/>
        <item x="158"/>
        <item x="83"/>
        <item x="4"/>
        <item x="51"/>
        <item x="126"/>
        <item x="149"/>
        <item x="40"/>
        <item x="144"/>
        <item x="70"/>
        <item x="218"/>
        <item x="87"/>
        <item x="141"/>
        <item x="180"/>
        <item x="139"/>
        <item x="151"/>
        <item x="99"/>
        <item x="89"/>
        <item x="35"/>
        <item x="66"/>
        <item x="103"/>
        <item x="97"/>
        <item x="187"/>
        <item x="154"/>
        <item x="52"/>
        <item x="138"/>
        <item x="105"/>
        <item x="152"/>
        <item x="33"/>
        <item x="10"/>
        <item x="231"/>
        <item x="147"/>
        <item x="148"/>
        <item x="191"/>
        <item x="229"/>
        <item x="72"/>
        <item x="42"/>
        <item x="75"/>
        <item x="27"/>
        <item x="227"/>
        <item x="23"/>
        <item x="220"/>
        <item x="185"/>
        <item x="56"/>
        <item x="54"/>
        <item t="default"/>
      </items>
      <autoSortScope>
        <pivotArea dataOnly="0" outline="0" fieldPosition="0">
          <references count="1">
            <reference field="4294967294" count="1" selected="0">
              <x v="0"/>
            </reference>
          </references>
        </pivotArea>
      </autoSortScope>
    </pivotField>
    <pivotField showAll="0">
      <items count="11">
        <item h="1" x="5"/>
        <item h="1" x="7"/>
        <item h="1" x="9"/>
        <item h="1" x="6"/>
        <item h="1" x="8"/>
        <item h="1" x="4"/>
        <item h="1" x="0"/>
        <item x="3"/>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48">
        <item x="20"/>
        <item x="69"/>
        <item x="46"/>
        <item x="61"/>
        <item x="108"/>
        <item x="50"/>
        <item x="8"/>
        <item x="7"/>
        <item x="77"/>
        <item x="137"/>
        <item x="36"/>
        <item x="98"/>
        <item x="0"/>
        <item x="4"/>
        <item x="125"/>
        <item x="58"/>
        <item x="139"/>
        <item x="47"/>
        <item x="5"/>
        <item x="127"/>
        <item x="141"/>
        <item x="31"/>
        <item x="10"/>
        <item x="41"/>
        <item x="45"/>
        <item x="33"/>
        <item x="107"/>
        <item x="101"/>
        <item x="71"/>
        <item x="120"/>
        <item x="52"/>
        <item x="25"/>
        <item x="26"/>
        <item x="83"/>
        <item x="138"/>
        <item x="102"/>
        <item x="72"/>
        <item x="110"/>
        <item x="11"/>
        <item x="60"/>
        <item x="144"/>
        <item x="118"/>
        <item x="116"/>
        <item x="23"/>
        <item x="32"/>
        <item x="91"/>
        <item x="85"/>
        <item x="136"/>
        <item x="43"/>
        <item x="82"/>
        <item x="115"/>
        <item x="142"/>
        <item x="27"/>
        <item x="19"/>
        <item x="42"/>
        <item x="94"/>
        <item x="12"/>
        <item x="9"/>
        <item x="68"/>
        <item x="62"/>
        <item x="54"/>
        <item x="65"/>
        <item x="106"/>
        <item x="22"/>
        <item x="80"/>
        <item x="99"/>
        <item x="97"/>
        <item x="21"/>
        <item x="84"/>
        <item x="129"/>
        <item x="133"/>
        <item x="30"/>
        <item x="16"/>
        <item x="49"/>
        <item x="105"/>
        <item x="74"/>
        <item x="57"/>
        <item x="24"/>
        <item x="103"/>
        <item x="2"/>
        <item x="1"/>
        <item x="96"/>
        <item x="38"/>
        <item x="18"/>
        <item x="3"/>
        <item x="55"/>
        <item x="123"/>
        <item x="121"/>
        <item x="100"/>
        <item x="39"/>
        <item x="40"/>
        <item x="29"/>
        <item x="95"/>
        <item x="35"/>
        <item x="130"/>
        <item x="67"/>
        <item x="146"/>
        <item x="128"/>
        <item x="73"/>
        <item x="143"/>
        <item x="126"/>
        <item x="79"/>
        <item x="122"/>
        <item x="145"/>
        <item x="76"/>
        <item x="92"/>
        <item x="119"/>
        <item x="90"/>
        <item x="109"/>
        <item x="56"/>
        <item x="117"/>
        <item x="70"/>
        <item x="89"/>
        <item x="78"/>
        <item x="93"/>
        <item x="34"/>
        <item x="135"/>
        <item x="15"/>
        <item x="114"/>
        <item x="111"/>
        <item x="131"/>
        <item x="37"/>
        <item x="112"/>
        <item x="113"/>
        <item x="63"/>
        <item x="44"/>
        <item x="75"/>
        <item x="124"/>
        <item x="88"/>
        <item x="81"/>
        <item x="64"/>
        <item x="87"/>
        <item x="14"/>
        <item x="28"/>
        <item x="13"/>
        <item x="66"/>
        <item x="134"/>
        <item x="140"/>
        <item x="17"/>
        <item x="48"/>
        <item x="132"/>
        <item x="86"/>
        <item x="51"/>
        <item x="53"/>
        <item x="104"/>
        <item x="59"/>
        <item x="6"/>
        <item t="default"/>
      </items>
    </pivotField>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119">
        <item x="13"/>
        <item x="1"/>
        <item x="96"/>
        <item x="42"/>
        <item x="36"/>
        <item x="88"/>
        <item x="40"/>
        <item x="22"/>
        <item x="97"/>
        <item x="35"/>
        <item x="83"/>
        <item x="103"/>
        <item x="21"/>
        <item x="98"/>
        <item x="11"/>
        <item x="54"/>
        <item x="93"/>
        <item x="82"/>
        <item x="7"/>
        <item x="23"/>
        <item x="17"/>
        <item x="47"/>
        <item x="56"/>
        <item x="45"/>
        <item x="60"/>
        <item x="10"/>
        <item x="81"/>
        <item x="46"/>
        <item x="3"/>
        <item x="30"/>
        <item x="113"/>
        <item x="18"/>
        <item x="74"/>
        <item x="105"/>
        <item x="94"/>
        <item x="69"/>
        <item x="92"/>
        <item x="8"/>
        <item x="25"/>
        <item x="38"/>
        <item x="116"/>
        <item x="67"/>
        <item x="104"/>
        <item x="34"/>
        <item x="114"/>
        <item x="70"/>
        <item x="48"/>
        <item x="31"/>
        <item x="19"/>
        <item x="37"/>
        <item x="16"/>
        <item x="76"/>
        <item x="20"/>
        <item x="58"/>
        <item x="72"/>
        <item x="14"/>
        <item x="71"/>
        <item x="33"/>
        <item x="99"/>
        <item x="102"/>
        <item x="111"/>
        <item x="53"/>
        <item x="110"/>
        <item x="106"/>
        <item x="115"/>
        <item x="12"/>
        <item x="117"/>
        <item x="84"/>
        <item x="6"/>
        <item x="109"/>
        <item x="89"/>
        <item x="57"/>
        <item x="41"/>
        <item x="62"/>
        <item x="90"/>
        <item x="87"/>
        <item x="108"/>
        <item x="65"/>
        <item x="44"/>
        <item x="95"/>
        <item x="68"/>
        <item x="80"/>
        <item x="64"/>
        <item x="52"/>
        <item x="32"/>
        <item x="100"/>
        <item x="50"/>
        <item x="24"/>
        <item x="27"/>
        <item x="9"/>
        <item x="91"/>
        <item x="85"/>
        <item x="2"/>
        <item x="77"/>
        <item x="66"/>
        <item x="61"/>
        <item x="79"/>
        <item x="86"/>
        <item x="28"/>
        <item x="4"/>
        <item x="49"/>
        <item x="26"/>
        <item x="43"/>
        <item x="29"/>
        <item x="78"/>
        <item x="55"/>
        <item x="101"/>
        <item x="51"/>
        <item x="107"/>
        <item x="73"/>
        <item x="63"/>
        <item x="15"/>
        <item x="75"/>
        <item x="59"/>
        <item x="39"/>
        <item x="5"/>
        <item x="112"/>
        <item x="0"/>
        <item t="default"/>
      </items>
    </pivotField>
    <pivotField showAll="0"/>
    <pivotField showAll="0"/>
    <pivotField showAll="0"/>
    <pivotField showAll="0"/>
    <pivotField showAll="0"/>
    <pivotField showAll="0"/>
  </pivotFields>
  <rowFields count="1">
    <field x="0"/>
  </rowFields>
  <rowItems count="8">
    <i>
      <x v="227"/>
    </i>
    <i>
      <x v="54"/>
    </i>
    <i>
      <x v="61"/>
    </i>
    <i>
      <x v="64"/>
    </i>
    <i>
      <x v="91"/>
    </i>
    <i>
      <x v="70"/>
    </i>
    <i>
      <x v="111"/>
    </i>
    <i t="grand">
      <x/>
    </i>
  </rowItems>
  <colFields count="1">
    <field x="-2"/>
  </colFields>
  <colItems count="2">
    <i>
      <x/>
    </i>
    <i i="1">
      <x v="1"/>
    </i>
  </colItems>
  <dataFields count="2">
    <dataField name="Sum of 4s" fld="19" baseField="0" baseItem="0"/>
    <dataField name="Sum of 6s" fld="20"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5"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4FC5ED-4D59-4A86-9A74-20B5D94F3FD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2" firstHeaderRow="1" firstDataRow="1" firstDataCol="1"/>
  <pivotFields count="39">
    <pivotField showAll="0">
      <items count="238">
        <item x="34"/>
        <item x="162"/>
        <item x="223"/>
        <item x="30"/>
        <item x="130"/>
        <item x="37"/>
        <item x="157"/>
        <item x="92"/>
        <item x="155"/>
        <item x="224"/>
        <item x="167"/>
        <item x="123"/>
        <item x="145"/>
        <item x="91"/>
        <item x="208"/>
        <item x="114"/>
        <item x="174"/>
        <item x="21"/>
        <item x="80"/>
        <item x="163"/>
        <item x="71"/>
        <item x="112"/>
        <item x="116"/>
        <item x="8"/>
        <item x="115"/>
        <item x="160"/>
        <item x="189"/>
        <item x="20"/>
        <item x="194"/>
        <item x="171"/>
        <item x="210"/>
        <item x="168"/>
        <item x="24"/>
        <item x="111"/>
        <item x="17"/>
        <item x="140"/>
        <item x="15"/>
        <item x="31"/>
        <item x="90"/>
        <item x="161"/>
        <item x="177"/>
        <item x="127"/>
        <item x="102"/>
        <item x="234"/>
        <item x="64"/>
        <item x="222"/>
        <item x="175"/>
        <item x="82"/>
        <item x="120"/>
        <item x="200"/>
        <item x="53"/>
        <item x="133"/>
        <item x="101"/>
        <item x="68"/>
        <item x="79"/>
        <item x="230"/>
        <item x="204"/>
        <item x="135"/>
        <item x="125"/>
        <item x="203"/>
        <item x="108"/>
        <item x="77"/>
        <item x="41"/>
        <item x="85"/>
        <item x="73"/>
        <item x="39"/>
        <item x="232"/>
        <item x="215"/>
        <item x="142"/>
        <item x="9"/>
        <item x="74"/>
        <item x="118"/>
        <item x="95"/>
        <item x="18"/>
        <item x="45"/>
        <item x="60"/>
        <item x="86"/>
        <item x="196"/>
        <item x="226"/>
        <item x="96"/>
        <item x="228"/>
        <item x="106"/>
        <item x="22"/>
        <item x="98"/>
        <item x="5"/>
        <item x="50"/>
        <item x="76"/>
        <item x="2"/>
        <item x="182"/>
        <item x="25"/>
        <item x="211"/>
        <item x="88"/>
        <item x="36"/>
        <item x="61"/>
        <item x="65"/>
        <item x="176"/>
        <item x="100"/>
        <item x="193"/>
        <item x="137"/>
        <item x="205"/>
        <item x="197"/>
        <item x="69"/>
        <item x="179"/>
        <item x="67"/>
        <item x="206"/>
        <item x="184"/>
        <item x="1"/>
        <item x="216"/>
        <item x="186"/>
        <item x="93"/>
        <item x="134"/>
        <item x="84"/>
        <item x="213"/>
        <item x="183"/>
        <item x="201"/>
        <item x="32"/>
        <item x="195"/>
        <item x="198"/>
        <item x="225"/>
        <item x="0"/>
        <item x="109"/>
        <item x="212"/>
        <item x="173"/>
        <item x="129"/>
        <item x="122"/>
        <item x="156"/>
        <item x="219"/>
        <item x="78"/>
        <item x="209"/>
        <item x="121"/>
        <item x="143"/>
        <item x="104"/>
        <item x="181"/>
        <item x="136"/>
        <item x="59"/>
        <item x="12"/>
        <item x="58"/>
        <item x="26"/>
        <item x="146"/>
        <item x="233"/>
        <item x="63"/>
        <item x="6"/>
        <item x="150"/>
        <item x="13"/>
        <item x="236"/>
        <item x="132"/>
        <item x="49"/>
        <item x="164"/>
        <item x="188"/>
        <item x="19"/>
        <item x="172"/>
        <item x="43"/>
        <item x="199"/>
        <item x="117"/>
        <item x="7"/>
        <item x="217"/>
        <item x="28"/>
        <item x="11"/>
        <item x="131"/>
        <item x="113"/>
        <item x="166"/>
        <item x="214"/>
        <item x="165"/>
        <item x="62"/>
        <item x="202"/>
        <item x="55"/>
        <item x="47"/>
        <item x="119"/>
        <item x="221"/>
        <item x="107"/>
        <item x="159"/>
        <item x="190"/>
        <item x="169"/>
        <item x="14"/>
        <item x="57"/>
        <item x="128"/>
        <item x="94"/>
        <item x="29"/>
        <item x="178"/>
        <item x="124"/>
        <item x="235"/>
        <item x="153"/>
        <item x="16"/>
        <item x="110"/>
        <item x="48"/>
        <item x="192"/>
        <item x="44"/>
        <item x="38"/>
        <item x="81"/>
        <item x="207"/>
        <item x="3"/>
        <item x="170"/>
        <item x="46"/>
        <item x="158"/>
        <item x="83"/>
        <item x="4"/>
        <item x="51"/>
        <item x="126"/>
        <item x="149"/>
        <item x="40"/>
        <item x="144"/>
        <item x="70"/>
        <item x="218"/>
        <item x="87"/>
        <item x="141"/>
        <item x="180"/>
        <item x="139"/>
        <item x="151"/>
        <item x="99"/>
        <item x="89"/>
        <item x="35"/>
        <item x="66"/>
        <item x="103"/>
        <item x="97"/>
        <item x="187"/>
        <item x="154"/>
        <item x="52"/>
        <item x="138"/>
        <item x="105"/>
        <item x="152"/>
        <item x="33"/>
        <item x="10"/>
        <item x="231"/>
        <item x="147"/>
        <item x="148"/>
        <item x="191"/>
        <item x="229"/>
        <item x="72"/>
        <item x="42"/>
        <item x="75"/>
        <item x="27"/>
        <item x="227"/>
        <item x="23"/>
        <item x="220"/>
        <item x="185"/>
        <item x="56"/>
        <item x="54"/>
        <item t="default"/>
      </items>
    </pivotField>
    <pivotField showAll="0">
      <items count="11">
        <item h="1" x="5"/>
        <item h="1" x="7"/>
        <item h="1" x="9"/>
        <item h="1" x="6"/>
        <item h="1" x="8"/>
        <item h="1" x="4"/>
        <item h="1" x="0"/>
        <item x="3"/>
        <item h="1" x="2"/>
        <item h="1" x="1"/>
        <item t="default"/>
      </items>
    </pivotField>
    <pivotField showAll="0"/>
    <pivotField showAll="0"/>
    <pivotField showAll="0"/>
    <pivotField showAll="0"/>
    <pivotField showAll="0"/>
    <pivotField showAll="0"/>
    <pivotField axis="axisRow" dataField="1" showAll="0">
      <items count="12">
        <item x="0"/>
        <item x="7"/>
        <item x="4"/>
        <item x="10"/>
        <item x="1"/>
        <item x="6"/>
        <item x="9"/>
        <item x="2"/>
        <item x="5"/>
        <item x="3"/>
        <item x="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9">
    <i>
      <x/>
    </i>
    <i>
      <x v="2"/>
    </i>
    <i>
      <x v="4"/>
    </i>
    <i>
      <x v="5"/>
    </i>
    <i>
      <x v="7"/>
    </i>
    <i>
      <x v="8"/>
    </i>
    <i>
      <x v="9"/>
    </i>
    <i>
      <x v="10"/>
    </i>
    <i t="grand">
      <x/>
    </i>
  </rowItems>
  <colItems count="1">
    <i/>
  </colItems>
  <dataFields count="1">
    <dataField name="Count of National Side" fld="8" subtotal="count" baseField="0" baseItem="0"/>
  </dataFields>
  <chartFormats count="17">
    <chartFormat chart="0" format="0" series="1">
      <pivotArea type="data" outline="0" fieldPosition="0">
        <references count="1">
          <reference field="4294967294" count="1" selected="0">
            <x v="0"/>
          </reference>
        </references>
      </pivotArea>
    </chartFormat>
    <chartFormat chart="4" format="70" series="1">
      <pivotArea type="data" outline="0" fieldPosition="0">
        <references count="1">
          <reference field="4294967294" count="1" selected="0">
            <x v="0"/>
          </reference>
        </references>
      </pivotArea>
    </chartFormat>
    <chartFormat chart="4" format="139">
      <pivotArea type="data" outline="0" fieldPosition="0">
        <references count="2">
          <reference field="4294967294" count="1" selected="0">
            <x v="0"/>
          </reference>
          <reference field="8" count="1" selected="0">
            <x v="8"/>
          </reference>
        </references>
      </pivotArea>
    </chartFormat>
    <chartFormat chart="4" format="140">
      <pivotArea type="data" outline="0" fieldPosition="0">
        <references count="2">
          <reference field="4294967294" count="1" selected="0">
            <x v="0"/>
          </reference>
          <reference field="8" count="1" selected="0">
            <x v="5"/>
          </reference>
        </references>
      </pivotArea>
    </chartFormat>
    <chartFormat chart="4" format="141">
      <pivotArea type="data" outline="0" fieldPosition="0">
        <references count="2">
          <reference field="4294967294" count="1" selected="0">
            <x v="0"/>
          </reference>
          <reference field="8" count="1" selected="0">
            <x v="0"/>
          </reference>
        </references>
      </pivotArea>
    </chartFormat>
    <chartFormat chart="4" format="142">
      <pivotArea type="data" outline="0" fieldPosition="0">
        <references count="2">
          <reference field="4294967294" count="1" selected="0">
            <x v="0"/>
          </reference>
          <reference field="8" count="1" selected="0">
            <x v="2"/>
          </reference>
        </references>
      </pivotArea>
    </chartFormat>
    <chartFormat chart="4" format="143">
      <pivotArea type="data" outline="0" fieldPosition="0">
        <references count="2">
          <reference field="4294967294" count="1" selected="0">
            <x v="0"/>
          </reference>
          <reference field="8" count="1" selected="0">
            <x v="4"/>
          </reference>
        </references>
      </pivotArea>
    </chartFormat>
    <chartFormat chart="4" format="144">
      <pivotArea type="data" outline="0" fieldPosition="0">
        <references count="2">
          <reference field="4294967294" count="1" selected="0">
            <x v="0"/>
          </reference>
          <reference field="8" count="1" selected="0">
            <x v="7"/>
          </reference>
        </references>
      </pivotArea>
    </chartFormat>
    <chartFormat chart="4" format="145">
      <pivotArea type="data" outline="0" fieldPosition="0">
        <references count="2">
          <reference field="4294967294" count="1" selected="0">
            <x v="0"/>
          </reference>
          <reference field="8" count="1" selected="0">
            <x v="9"/>
          </reference>
        </references>
      </pivotArea>
    </chartFormat>
    <chartFormat chart="4" format="146">
      <pivotArea type="data" outline="0" fieldPosition="0">
        <references count="2">
          <reference field="4294967294" count="1" selected="0">
            <x v="0"/>
          </reference>
          <reference field="8" count="1" selected="0">
            <x v="1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4"/>
          </reference>
        </references>
      </pivotArea>
    </chartFormat>
    <chartFormat chart="0" format="3">
      <pivotArea type="data" outline="0" fieldPosition="0">
        <references count="2">
          <reference field="4294967294" count="1" selected="0">
            <x v="0"/>
          </reference>
          <reference field="8" count="1" selected="0">
            <x v="5"/>
          </reference>
        </references>
      </pivotArea>
    </chartFormat>
    <chartFormat chart="0" format="4">
      <pivotArea type="data" outline="0" fieldPosition="0">
        <references count="2">
          <reference field="4294967294" count="1" selected="0">
            <x v="0"/>
          </reference>
          <reference field="8" count="1" selected="0">
            <x v="7"/>
          </reference>
        </references>
      </pivotArea>
    </chartFormat>
    <chartFormat chart="0" format="5">
      <pivotArea type="data" outline="0" fieldPosition="0">
        <references count="2">
          <reference field="4294967294" count="1" selected="0">
            <x v="0"/>
          </reference>
          <reference field="8" count="1" selected="0">
            <x v="8"/>
          </reference>
        </references>
      </pivotArea>
    </chartFormat>
    <chartFormat chart="0" format="6">
      <pivotArea type="data" outline="0" fieldPosition="0">
        <references count="2">
          <reference field="4294967294" count="1" selected="0">
            <x v="0"/>
          </reference>
          <reference field="8" count="1" selected="0">
            <x v="9"/>
          </reference>
        </references>
      </pivotArea>
    </chartFormat>
    <chartFormat chart="0" format="7">
      <pivotArea type="data" outline="0" fieldPosition="0">
        <references count="2">
          <reference field="4294967294" count="1" selected="0">
            <x v="0"/>
          </reference>
          <reference field="8"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B002B70-2418-4744-B897-9709DAF31111}"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39">
    <pivotField axis="axisRow" showAll="0" measureFilter="1" sortType="descending">
      <items count="238">
        <item x="34"/>
        <item x="162"/>
        <item x="223"/>
        <item x="30"/>
        <item x="130"/>
        <item x="37"/>
        <item x="157"/>
        <item x="92"/>
        <item x="155"/>
        <item x="224"/>
        <item x="167"/>
        <item x="123"/>
        <item x="145"/>
        <item x="91"/>
        <item x="208"/>
        <item x="114"/>
        <item x="174"/>
        <item x="21"/>
        <item x="80"/>
        <item x="163"/>
        <item x="71"/>
        <item x="112"/>
        <item x="116"/>
        <item x="8"/>
        <item x="115"/>
        <item x="160"/>
        <item x="189"/>
        <item x="20"/>
        <item x="194"/>
        <item x="171"/>
        <item x="210"/>
        <item x="168"/>
        <item x="24"/>
        <item x="111"/>
        <item x="17"/>
        <item x="140"/>
        <item x="15"/>
        <item x="31"/>
        <item x="90"/>
        <item x="161"/>
        <item x="177"/>
        <item x="127"/>
        <item x="102"/>
        <item x="234"/>
        <item x="64"/>
        <item x="222"/>
        <item x="175"/>
        <item x="82"/>
        <item x="120"/>
        <item x="200"/>
        <item x="53"/>
        <item x="133"/>
        <item x="101"/>
        <item x="68"/>
        <item x="79"/>
        <item x="230"/>
        <item x="204"/>
        <item x="135"/>
        <item x="125"/>
        <item x="203"/>
        <item x="108"/>
        <item x="77"/>
        <item x="41"/>
        <item x="85"/>
        <item x="73"/>
        <item x="39"/>
        <item x="232"/>
        <item x="215"/>
        <item x="142"/>
        <item x="9"/>
        <item x="74"/>
        <item x="118"/>
        <item x="95"/>
        <item x="18"/>
        <item x="45"/>
        <item x="60"/>
        <item x="86"/>
        <item x="196"/>
        <item x="226"/>
        <item x="96"/>
        <item x="228"/>
        <item x="106"/>
        <item x="22"/>
        <item x="98"/>
        <item x="5"/>
        <item x="50"/>
        <item x="76"/>
        <item x="2"/>
        <item x="182"/>
        <item x="25"/>
        <item x="211"/>
        <item x="88"/>
        <item x="36"/>
        <item x="61"/>
        <item x="65"/>
        <item x="176"/>
        <item x="100"/>
        <item x="193"/>
        <item x="137"/>
        <item x="205"/>
        <item x="197"/>
        <item x="69"/>
        <item x="179"/>
        <item x="67"/>
        <item x="206"/>
        <item x="184"/>
        <item x="1"/>
        <item x="216"/>
        <item x="186"/>
        <item x="93"/>
        <item x="134"/>
        <item x="84"/>
        <item x="213"/>
        <item x="183"/>
        <item x="201"/>
        <item x="32"/>
        <item x="195"/>
        <item x="198"/>
        <item x="225"/>
        <item x="0"/>
        <item x="109"/>
        <item x="212"/>
        <item x="173"/>
        <item x="129"/>
        <item x="122"/>
        <item x="156"/>
        <item x="219"/>
        <item x="78"/>
        <item x="209"/>
        <item x="121"/>
        <item x="143"/>
        <item x="104"/>
        <item x="181"/>
        <item x="136"/>
        <item x="59"/>
        <item x="12"/>
        <item x="58"/>
        <item x="26"/>
        <item x="146"/>
        <item x="233"/>
        <item x="63"/>
        <item x="6"/>
        <item x="150"/>
        <item x="13"/>
        <item x="236"/>
        <item x="132"/>
        <item x="49"/>
        <item x="164"/>
        <item x="188"/>
        <item x="19"/>
        <item x="172"/>
        <item x="43"/>
        <item x="199"/>
        <item x="117"/>
        <item x="7"/>
        <item x="217"/>
        <item x="28"/>
        <item x="11"/>
        <item x="131"/>
        <item x="113"/>
        <item x="166"/>
        <item x="214"/>
        <item x="165"/>
        <item x="62"/>
        <item x="202"/>
        <item x="55"/>
        <item x="47"/>
        <item x="119"/>
        <item x="221"/>
        <item x="107"/>
        <item x="159"/>
        <item x="190"/>
        <item x="169"/>
        <item x="14"/>
        <item x="57"/>
        <item x="128"/>
        <item x="94"/>
        <item x="29"/>
        <item x="178"/>
        <item x="124"/>
        <item x="235"/>
        <item x="153"/>
        <item x="16"/>
        <item x="110"/>
        <item x="48"/>
        <item x="192"/>
        <item x="44"/>
        <item x="38"/>
        <item x="81"/>
        <item x="207"/>
        <item x="3"/>
        <item x="170"/>
        <item x="46"/>
        <item x="158"/>
        <item x="83"/>
        <item x="4"/>
        <item x="51"/>
        <item x="126"/>
        <item x="149"/>
        <item x="40"/>
        <item x="144"/>
        <item x="70"/>
        <item x="218"/>
        <item x="87"/>
        <item x="141"/>
        <item x="180"/>
        <item x="139"/>
        <item x="151"/>
        <item x="99"/>
        <item x="89"/>
        <item x="35"/>
        <item x="66"/>
        <item x="103"/>
        <item x="97"/>
        <item x="187"/>
        <item x="154"/>
        <item x="52"/>
        <item x="138"/>
        <item x="105"/>
        <item x="152"/>
        <item x="33"/>
        <item x="10"/>
        <item x="231"/>
        <item x="147"/>
        <item x="148"/>
        <item x="191"/>
        <item x="229"/>
        <item x="72"/>
        <item x="42"/>
        <item x="75"/>
        <item x="27"/>
        <item x="227"/>
        <item x="23"/>
        <item x="220"/>
        <item x="185"/>
        <item x="56"/>
        <item x="54"/>
        <item t="default"/>
      </items>
      <autoSortScope>
        <pivotArea dataOnly="0" outline="0" fieldPosition="0">
          <references count="1">
            <reference field="4294967294" count="1" selected="0">
              <x v="0"/>
            </reference>
          </references>
        </pivotArea>
      </autoSortScope>
    </pivotField>
    <pivotField showAll="0">
      <items count="11">
        <item h="1" x="5"/>
        <item h="1" x="7"/>
        <item h="1" x="9"/>
        <item h="1" x="6"/>
        <item h="1" x="8"/>
        <item h="1" x="4"/>
        <item h="1" x="0"/>
        <item x="3"/>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0"/>
  </rowFields>
  <rowItems count="8">
    <i>
      <x v="70"/>
    </i>
    <i>
      <x v="91"/>
    </i>
    <i>
      <x v="203"/>
    </i>
    <i>
      <x v="127"/>
    </i>
    <i>
      <x v="64"/>
    </i>
    <i>
      <x v="86"/>
    </i>
    <i>
      <x v="188"/>
    </i>
    <i t="grand">
      <x/>
    </i>
  </rowItems>
  <colItems count="1">
    <i/>
  </colItems>
  <dataFields count="1">
    <dataField name="Sum of Wickets" fld="3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39">
    <pivotField axis="axisRow" showAll="0" measureFilter="1" sortType="descending">
      <items count="238">
        <item x="34"/>
        <item x="162"/>
        <item x="223"/>
        <item x="30"/>
        <item x="130"/>
        <item x="37"/>
        <item x="157"/>
        <item x="92"/>
        <item x="155"/>
        <item x="224"/>
        <item x="167"/>
        <item x="123"/>
        <item x="145"/>
        <item x="91"/>
        <item x="208"/>
        <item x="114"/>
        <item x="174"/>
        <item x="21"/>
        <item x="80"/>
        <item x="163"/>
        <item x="71"/>
        <item x="112"/>
        <item x="116"/>
        <item x="8"/>
        <item x="115"/>
        <item x="160"/>
        <item x="189"/>
        <item x="20"/>
        <item x="194"/>
        <item x="171"/>
        <item x="210"/>
        <item x="168"/>
        <item x="24"/>
        <item x="111"/>
        <item x="17"/>
        <item x="140"/>
        <item x="15"/>
        <item x="31"/>
        <item x="90"/>
        <item x="161"/>
        <item x="177"/>
        <item x="127"/>
        <item x="102"/>
        <item x="234"/>
        <item x="64"/>
        <item x="222"/>
        <item x="175"/>
        <item x="82"/>
        <item x="120"/>
        <item x="200"/>
        <item x="53"/>
        <item x="133"/>
        <item x="101"/>
        <item x="68"/>
        <item x="79"/>
        <item x="230"/>
        <item x="204"/>
        <item x="135"/>
        <item x="125"/>
        <item x="203"/>
        <item x="108"/>
        <item x="77"/>
        <item x="41"/>
        <item x="85"/>
        <item x="73"/>
        <item x="39"/>
        <item x="232"/>
        <item x="215"/>
        <item x="142"/>
        <item x="9"/>
        <item x="74"/>
        <item x="118"/>
        <item x="95"/>
        <item x="18"/>
        <item x="45"/>
        <item x="60"/>
        <item x="86"/>
        <item x="196"/>
        <item x="226"/>
        <item x="96"/>
        <item x="228"/>
        <item x="106"/>
        <item x="22"/>
        <item x="98"/>
        <item x="5"/>
        <item x="50"/>
        <item x="76"/>
        <item x="2"/>
        <item x="182"/>
        <item x="25"/>
        <item x="211"/>
        <item x="88"/>
        <item x="36"/>
        <item x="61"/>
        <item x="65"/>
        <item x="176"/>
        <item x="100"/>
        <item x="193"/>
        <item x="137"/>
        <item x="205"/>
        <item x="197"/>
        <item x="69"/>
        <item x="179"/>
        <item x="67"/>
        <item x="206"/>
        <item x="184"/>
        <item x="1"/>
        <item x="216"/>
        <item x="186"/>
        <item x="93"/>
        <item x="134"/>
        <item x="84"/>
        <item x="213"/>
        <item x="183"/>
        <item x="201"/>
        <item x="32"/>
        <item x="195"/>
        <item x="198"/>
        <item x="225"/>
        <item x="0"/>
        <item x="109"/>
        <item x="212"/>
        <item x="173"/>
        <item x="129"/>
        <item x="122"/>
        <item x="156"/>
        <item x="219"/>
        <item x="78"/>
        <item x="209"/>
        <item x="121"/>
        <item x="143"/>
        <item x="104"/>
        <item x="181"/>
        <item x="136"/>
        <item x="59"/>
        <item x="12"/>
        <item x="58"/>
        <item x="26"/>
        <item x="146"/>
        <item x="233"/>
        <item x="63"/>
        <item x="6"/>
        <item x="150"/>
        <item x="13"/>
        <item x="236"/>
        <item x="132"/>
        <item x="49"/>
        <item x="164"/>
        <item x="188"/>
        <item x="19"/>
        <item x="172"/>
        <item x="43"/>
        <item x="199"/>
        <item x="117"/>
        <item x="7"/>
        <item x="217"/>
        <item x="28"/>
        <item x="11"/>
        <item x="131"/>
        <item x="113"/>
        <item x="166"/>
        <item x="214"/>
        <item x="165"/>
        <item x="62"/>
        <item x="202"/>
        <item x="55"/>
        <item x="47"/>
        <item x="119"/>
        <item x="221"/>
        <item x="107"/>
        <item x="159"/>
        <item x="190"/>
        <item x="169"/>
        <item x="14"/>
        <item x="57"/>
        <item x="128"/>
        <item x="94"/>
        <item x="29"/>
        <item x="178"/>
        <item x="124"/>
        <item x="235"/>
        <item x="153"/>
        <item x="16"/>
        <item x="110"/>
        <item x="48"/>
        <item x="192"/>
        <item x="44"/>
        <item x="38"/>
        <item x="81"/>
        <item x="207"/>
        <item x="3"/>
        <item x="170"/>
        <item x="46"/>
        <item x="158"/>
        <item x="83"/>
        <item x="4"/>
        <item x="51"/>
        <item x="126"/>
        <item x="149"/>
        <item x="40"/>
        <item x="144"/>
        <item x="70"/>
        <item x="218"/>
        <item x="87"/>
        <item x="141"/>
        <item x="180"/>
        <item x="139"/>
        <item x="151"/>
        <item x="99"/>
        <item x="89"/>
        <item x="35"/>
        <item x="66"/>
        <item x="103"/>
        <item x="97"/>
        <item x="187"/>
        <item x="154"/>
        <item x="52"/>
        <item x="138"/>
        <item x="105"/>
        <item x="152"/>
        <item x="33"/>
        <item x="10"/>
        <item x="231"/>
        <item x="147"/>
        <item x="148"/>
        <item x="191"/>
        <item x="229"/>
        <item x="72"/>
        <item x="42"/>
        <item x="75"/>
        <item x="27"/>
        <item x="227"/>
        <item x="23"/>
        <item x="220"/>
        <item x="185"/>
        <item x="56"/>
        <item x="54"/>
        <item t="default"/>
      </items>
      <autoSortScope>
        <pivotArea dataOnly="0" outline="0" fieldPosition="0">
          <references count="1">
            <reference field="4294967294" count="1" selected="0">
              <x v="0"/>
            </reference>
          </references>
        </pivotArea>
      </autoSortScope>
    </pivotField>
    <pivotField showAll="0">
      <items count="11">
        <item h="1" x="5"/>
        <item h="1" x="7"/>
        <item h="1" x="9"/>
        <item h="1" x="6"/>
        <item h="1" x="8"/>
        <item h="1" x="4"/>
        <item h="1" x="0"/>
        <item x="3"/>
        <item h="1" x="2"/>
        <item h="1" x="1"/>
        <item t="default"/>
      </items>
    </pivotField>
    <pivotField showAll="0"/>
    <pivotField showAll="0">
      <items count="5">
        <item x="1"/>
        <item x="0"/>
        <item h="1" x="2"/>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28">
        <item x="18"/>
        <item x="45"/>
        <item x="8"/>
        <item x="20"/>
        <item x="92"/>
        <item x="21"/>
        <item x="98"/>
        <item x="61"/>
        <item x="102"/>
        <item x="80"/>
        <item x="32"/>
        <item x="23"/>
        <item x="64"/>
        <item x="10"/>
        <item x="26"/>
        <item x="52"/>
        <item x="76"/>
        <item x="103"/>
        <item x="60"/>
        <item x="41"/>
        <item x="105"/>
        <item x="24"/>
        <item x="63"/>
        <item x="7"/>
        <item x="34"/>
        <item x="75"/>
        <item x="115"/>
        <item x="124"/>
        <item x="82"/>
        <item x="11"/>
        <item x="12"/>
        <item x="94"/>
        <item x="56"/>
        <item x="100"/>
        <item x="49"/>
        <item x="39"/>
        <item x="118"/>
        <item x="73"/>
        <item x="47"/>
        <item x="28"/>
        <item x="120"/>
        <item x="50"/>
        <item x="91"/>
        <item x="66"/>
        <item x="38"/>
        <item x="9"/>
        <item x="62"/>
        <item x="1"/>
        <item x="87"/>
        <item x="85"/>
        <item x="2"/>
        <item x="22"/>
        <item x="88"/>
        <item x="3"/>
        <item x="25"/>
        <item x="89"/>
        <item x="51"/>
        <item x="114"/>
        <item x="44"/>
        <item x="109"/>
        <item x="101"/>
        <item x="57"/>
        <item x="27"/>
        <item x="15"/>
        <item x="19"/>
        <item x="97"/>
        <item x="17"/>
        <item x="36"/>
        <item x="83"/>
        <item x="53"/>
        <item x="122"/>
        <item x="86"/>
        <item x="37"/>
        <item x="81"/>
        <item x="72"/>
        <item x="106"/>
        <item x="35"/>
        <item x="126"/>
        <item x="31"/>
        <item x="14"/>
        <item x="68"/>
        <item x="125"/>
        <item x="112"/>
        <item x="70"/>
        <item x="33"/>
        <item x="108"/>
        <item x="95"/>
        <item x="84"/>
        <item x="5"/>
        <item x="116"/>
        <item x="110"/>
        <item x="96"/>
        <item x="16"/>
        <item x="119"/>
        <item x="55"/>
        <item x="117"/>
        <item x="40"/>
        <item x="71"/>
        <item x="104"/>
        <item x="78"/>
        <item x="79"/>
        <item x="13"/>
        <item x="30"/>
        <item x="121"/>
        <item x="43"/>
        <item x="123"/>
        <item x="0"/>
        <item x="111"/>
        <item x="58"/>
        <item x="77"/>
        <item x="65"/>
        <item x="93"/>
        <item x="46"/>
        <item x="29"/>
        <item x="59"/>
        <item x="107"/>
        <item x="113"/>
        <item x="69"/>
        <item x="90"/>
        <item x="48"/>
        <item x="74"/>
        <item x="67"/>
        <item x="99"/>
        <item x="54"/>
        <item x="4"/>
        <item x="42"/>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8">
    <i>
      <x v="227"/>
    </i>
    <i>
      <x v="54"/>
    </i>
    <i>
      <x v="61"/>
    </i>
    <i>
      <x v="64"/>
    </i>
    <i>
      <x v="91"/>
    </i>
    <i>
      <x v="70"/>
    </i>
    <i>
      <x v="111"/>
    </i>
    <i t="grand">
      <x/>
    </i>
  </rowItems>
  <colItems count="1">
    <i/>
  </colItems>
  <dataFields count="1">
    <dataField name="Sum of RunsScored" fld="15" baseField="0" baseItem="0"/>
  </dataFields>
  <chartFormats count="5">
    <chartFormat chart="2" format="4"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2:I4" firstHeaderRow="1" firstDataRow="1" firstDataCol="1"/>
  <pivotFields count="39">
    <pivotField showAll="0"/>
    <pivotField axis="axisRow" dataField="1" showAll="0">
      <items count="11">
        <item h="1" x="5"/>
        <item h="1" x="7"/>
        <item h="1" x="9"/>
        <item h="1" x="6"/>
        <item h="1" x="8"/>
        <item h="1" x="4"/>
        <item h="1" x="0"/>
        <item x="3"/>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7"/>
    </i>
    <i t="grand">
      <x/>
    </i>
  </rowItems>
  <colItems count="1">
    <i/>
  </colItems>
  <dataFields count="1">
    <dataField name="Count of Team"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4" firstHeaderRow="1" firstDataRow="1" firstDataCol="1"/>
  <pivotFields count="39">
    <pivotField showAll="0"/>
    <pivotField axis="axisRow" showAll="0">
      <items count="11">
        <item h="1" x="5"/>
        <item h="1" x="7"/>
        <item h="1" x="9"/>
        <item h="1" x="6"/>
        <item h="1" x="8"/>
        <item h="1" x="4"/>
        <item h="1" x="0"/>
        <item x="3"/>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RH">
  <location ref="H17:H19" firstHeaderRow="1" firstDataRow="1" firstDataCol="1"/>
  <pivotFields count="39">
    <pivotField showAll="0"/>
    <pivotField axis="axisRow" showAll="0">
      <items count="11">
        <item h="1" x="5"/>
        <item h="1" x="7"/>
        <item h="1" x="9"/>
        <item h="1" x="6"/>
        <item h="1" x="8"/>
        <item h="1" x="4"/>
        <item h="1" x="0"/>
        <item x="3"/>
        <item h="1" x="2"/>
        <item h="1" x="1"/>
        <item t="default"/>
      </items>
    </pivotField>
    <pivotField showAll="0"/>
    <pivotField showAll="0">
      <items count="5">
        <item x="1"/>
        <item x="0"/>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2">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4" firstHeaderRow="1" firstDataRow="1" firstDataCol="1"/>
  <pivotFields count="39">
    <pivotField showAll="0"/>
    <pivotField axis="axisRow" showAll="0">
      <items count="11">
        <item h="1" x="5"/>
        <item h="1" x="7"/>
        <item h="1" x="9"/>
        <item h="1" x="6"/>
        <item h="1" x="8"/>
        <item h="1" x="4"/>
        <item h="1" x="0"/>
        <item x="3"/>
        <item h="1" x="2"/>
        <item h="1" x="1"/>
        <item t="default"/>
      </items>
    </pivotField>
    <pivotField showAll="0"/>
    <pivotField axis="axisRow" dataField="1" showAll="0">
      <items count="5">
        <item x="1"/>
        <item x="0"/>
        <item x="2"/>
        <item x="3"/>
        <item t="default"/>
      </items>
    </pivotField>
    <pivotField showAll="0"/>
    <pivotField showAll="0">
      <items count="233">
        <item x="34"/>
        <item x="159"/>
        <item x="218"/>
        <item x="30"/>
        <item x="129"/>
        <item x="37"/>
        <item x="155"/>
        <item x="91"/>
        <item x="153"/>
        <item x="219"/>
        <item x="164"/>
        <item x="122"/>
        <item x="143"/>
        <item x="90"/>
        <item x="204"/>
        <item x="113"/>
        <item x="171"/>
        <item x="21"/>
        <item x="80"/>
        <item x="160"/>
        <item x="71"/>
        <item x="111"/>
        <item x="8"/>
        <item x="114"/>
        <item x="157"/>
        <item x="20"/>
        <item x="191"/>
        <item x="168"/>
        <item x="206"/>
        <item x="165"/>
        <item x="24"/>
        <item x="110"/>
        <item x="17"/>
        <item x="230"/>
        <item x="31"/>
        <item x="158"/>
        <item x="174"/>
        <item x="140"/>
        <item x="126"/>
        <item x="101"/>
        <item x="229"/>
        <item x="64"/>
        <item x="217"/>
        <item x="172"/>
        <item x="82"/>
        <item x="197"/>
        <item x="119"/>
        <item x="53"/>
        <item x="132"/>
        <item x="100"/>
        <item x="68"/>
        <item x="225"/>
        <item x="124"/>
        <item x="107"/>
        <item x="41"/>
        <item x="85"/>
        <item x="77"/>
        <item x="39"/>
        <item x="73"/>
        <item x="227"/>
        <item x="211"/>
        <item x="9"/>
        <item x="74"/>
        <item x="117"/>
        <item x="18"/>
        <item x="94"/>
        <item x="45"/>
        <item x="60"/>
        <item x="221"/>
        <item x="193"/>
        <item x="86"/>
        <item x="95"/>
        <item x="223"/>
        <item x="105"/>
        <item x="22"/>
        <item x="97"/>
        <item x="5"/>
        <item x="50"/>
        <item x="76"/>
        <item x="2"/>
        <item x="179"/>
        <item x="25"/>
        <item x="190"/>
        <item x="138"/>
        <item x="207"/>
        <item x="88"/>
        <item x="36"/>
        <item x="61"/>
        <item x="186"/>
        <item x="173"/>
        <item x="99"/>
        <item x="135"/>
        <item x="177"/>
        <item x="65"/>
        <item x="79"/>
        <item x="201"/>
        <item x="194"/>
        <item x="69"/>
        <item x="176"/>
        <item x="67"/>
        <item x="202"/>
        <item x="212"/>
        <item x="181"/>
        <item x="1"/>
        <item x="183"/>
        <item x="92"/>
        <item x="120"/>
        <item x="84"/>
        <item x="209"/>
        <item x="180"/>
        <item x="198"/>
        <item x="32"/>
        <item x="192"/>
        <item x="195"/>
        <item x="3"/>
        <item x="220"/>
        <item x="0"/>
        <item x="108"/>
        <item x="208"/>
        <item x="128"/>
        <item x="170"/>
        <item x="121"/>
        <item x="154"/>
        <item x="214"/>
        <item x="78"/>
        <item x="115"/>
        <item x="205"/>
        <item x="133"/>
        <item x="141"/>
        <item x="49"/>
        <item x="103"/>
        <item x="178"/>
        <item x="102"/>
        <item x="134"/>
        <item x="12"/>
        <item x="59"/>
        <item x="58"/>
        <item x="26"/>
        <item x="144"/>
        <item x="228"/>
        <item x="63"/>
        <item x="6"/>
        <item x="200"/>
        <item x="148"/>
        <item x="75"/>
        <item x="13"/>
        <item x="231"/>
        <item x="15"/>
        <item x="131"/>
        <item x="161"/>
        <item x="185"/>
        <item x="19"/>
        <item x="169"/>
        <item x="43"/>
        <item x="196"/>
        <item x="28"/>
        <item x="7"/>
        <item x="116"/>
        <item x="11"/>
        <item x="130"/>
        <item x="112"/>
        <item x="163"/>
        <item x="109"/>
        <item x="210"/>
        <item x="162"/>
        <item x="199"/>
        <item x="55"/>
        <item x="47"/>
        <item x="118"/>
        <item x="216"/>
        <item x="106"/>
        <item x="156"/>
        <item x="187"/>
        <item x="166"/>
        <item x="14"/>
        <item x="57"/>
        <item x="127"/>
        <item x="93"/>
        <item x="29"/>
        <item x="175"/>
        <item x="123"/>
        <item x="151"/>
        <item x="16"/>
        <item x="48"/>
        <item x="189"/>
        <item x="44"/>
        <item x="38"/>
        <item x="81"/>
        <item x="203"/>
        <item x="167"/>
        <item x="46"/>
        <item x="83"/>
        <item x="4"/>
        <item x="51"/>
        <item x="125"/>
        <item x="147"/>
        <item x="40"/>
        <item x="142"/>
        <item x="70"/>
        <item x="213"/>
        <item x="87"/>
        <item x="139"/>
        <item x="137"/>
        <item x="149"/>
        <item x="98"/>
        <item x="89"/>
        <item x="66"/>
        <item x="35"/>
        <item x="184"/>
        <item x="152"/>
        <item x="96"/>
        <item x="52"/>
        <item x="136"/>
        <item x="104"/>
        <item x="150"/>
        <item x="33"/>
        <item x="10"/>
        <item x="145"/>
        <item x="226"/>
        <item x="146"/>
        <item x="188"/>
        <item x="224"/>
        <item x="72"/>
        <item x="42"/>
        <item x="27"/>
        <item x="222"/>
        <item x="23"/>
        <item x="215"/>
        <item x="182"/>
        <item x="56"/>
        <item x="54"/>
        <item x="62"/>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3"/>
  </rowFields>
  <rowItems count="6">
    <i>
      <x v="7"/>
    </i>
    <i r="1">
      <x/>
    </i>
    <i r="1">
      <x v="1"/>
    </i>
    <i r="1">
      <x v="2"/>
    </i>
    <i r="1">
      <x v="3"/>
    </i>
    <i t="grand">
      <x/>
    </i>
  </rowItems>
  <colItems count="1">
    <i/>
  </colItems>
  <dataFields count="1">
    <dataField name="Count of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00000000-0013-0000-FFFF-FFFF01000000}" sourceName="Team">
  <pivotTables>
    <pivotTable tabId="2" name="PivotTable2"/>
    <pivotTable tabId="2" name="PivotTable3"/>
    <pivotTable tabId="2" name="PivotTable4"/>
    <pivotTable tabId="2" name="PivotTable5"/>
    <pivotTable tabId="4" name="PivotTable6"/>
    <pivotTable tabId="6" name="PivotTable8"/>
    <pivotTable tabId="9" name="PivotTable9"/>
    <pivotTable tabId="12" name="PivotTable11"/>
    <pivotTable tabId="11" name="PivotTable10"/>
  </pivotTables>
  <data>
    <tabular pivotCacheId="1244887689">
      <items count="10">
        <i x="5"/>
        <i x="7"/>
        <i x="9"/>
        <i x="6"/>
        <i x="8"/>
        <i x="4"/>
        <i x="0"/>
        <i x="3"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00000000-0014-0000-FFFF-FFFF01000000}" cache="Slicer_Team" caption="Team" startItem="6"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1" xr10:uid="{00000000-0014-0000-FFFF-FFFF02000000}" cache="Slicer_Team" caption="Team" style="SlicerStyleDark6 2" rowHeight="53035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M238" totalsRowShown="0">
  <autoFilter ref="A1:AM238" xr:uid="{00000000-0009-0000-0100-000001000000}"/>
  <tableColumns count="39">
    <tableColumn id="1" xr3:uid="{00000000-0010-0000-0000-000001000000}" name="Name"/>
    <tableColumn id="2" xr3:uid="{00000000-0010-0000-0000-000002000000}" name="Team"/>
    <tableColumn id="3" xr3:uid="{00000000-0010-0000-0000-000003000000}" name="Url"/>
    <tableColumn id="4" xr3:uid="{00000000-0010-0000-0000-000004000000}" name="Type"/>
    <tableColumn id="5" xr3:uid="{00000000-0010-0000-0000-000005000000}" name="ValueinCR"/>
    <tableColumn id="6" xr3:uid="{00000000-0010-0000-0000-000006000000}" name="Full Name"/>
    <tableColumn id="7" xr3:uid="{00000000-0010-0000-0000-000007000000}" name="Born"/>
    <tableColumn id="8" xr3:uid="{00000000-0010-0000-0000-000008000000}" name="Age"/>
    <tableColumn id="9" xr3:uid="{00000000-0010-0000-0000-000009000000}" name="National Side"/>
    <tableColumn id="10" xr3:uid="{00000000-0010-0000-0000-00000A000000}" name="Batting Style"/>
    <tableColumn id="11" xr3:uid="{00000000-0010-0000-0000-00000B000000}" name="Bowling"/>
    <tableColumn id="12" xr3:uid="{00000000-0010-0000-0000-00000C000000}" name="Sport"/>
    <tableColumn id="13" xr3:uid="{00000000-0010-0000-0000-00000D000000}" name="MatchPlayed"/>
    <tableColumn id="14" xr3:uid="{00000000-0010-0000-0000-00000E000000}" name="InningsBatted"/>
    <tableColumn id="15" xr3:uid="{00000000-0010-0000-0000-00000F000000}" name="NotOuts"/>
    <tableColumn id="16" xr3:uid="{00000000-0010-0000-0000-000010000000}" name="RunsScored"/>
    <tableColumn id="17" xr3:uid="{00000000-0010-0000-0000-000011000000}" name="HighestInnScore"/>
    <tableColumn id="18" xr3:uid="{00000000-0010-0000-0000-000012000000}" name="100s"/>
    <tableColumn id="19" xr3:uid="{00000000-0010-0000-0000-000013000000}" name="50s"/>
    <tableColumn id="20" xr3:uid="{00000000-0010-0000-0000-000014000000}" name="4s"/>
    <tableColumn id="21" xr3:uid="{00000000-0010-0000-0000-000015000000}" name="6s"/>
    <tableColumn id="22" xr3:uid="{00000000-0010-0000-0000-000016000000}" name="BattingAVG"/>
    <tableColumn id="23" xr3:uid="{00000000-0010-0000-0000-000017000000}" name="BattingS/R"/>
    <tableColumn id="24" xr3:uid="{00000000-0010-0000-0000-000018000000}" name="CatchesTaken"/>
    <tableColumn id="25" xr3:uid="{00000000-0010-0000-0000-000019000000}" name="StumpingsMade"/>
    <tableColumn id="26" xr3:uid="{00000000-0010-0000-0000-00001A000000}" name="Ducks"/>
    <tableColumn id="27" xr3:uid="{00000000-0010-0000-0000-00001B000000}" name="R/O"/>
    <tableColumn id="28" xr3:uid="{00000000-0010-0000-0000-00001C000000}" name="InningsBowled"/>
    <tableColumn id="29" xr3:uid="{00000000-0010-0000-0000-00001D000000}" name="Overs"/>
    <tableColumn id="30" xr3:uid="{00000000-0010-0000-0000-00001E000000}" name="Maidens"/>
    <tableColumn id="31" xr3:uid="{00000000-0010-0000-0000-00001F000000}" name="RunsConceded"/>
    <tableColumn id="32" xr3:uid="{00000000-0010-0000-0000-000020000000}" name="Wickets"/>
    <tableColumn id="33" xr3:uid="{00000000-0010-0000-0000-000021000000}" name="Best"/>
    <tableColumn id="34" xr3:uid="{00000000-0010-0000-0000-000022000000}" name="3s"/>
    <tableColumn id="35" xr3:uid="{00000000-0010-0000-0000-000023000000}" name="5s"/>
    <tableColumn id="36" xr3:uid="{00000000-0010-0000-0000-000024000000}" name="BowlingAVG"/>
    <tableColumn id="37" xr3:uid="{00000000-0010-0000-0000-000025000000}" name="EconomyRate"/>
    <tableColumn id="38" xr3:uid="{00000000-0010-0000-0000-000026000000}" name="S/R"/>
    <tableColumn id="39" xr3:uid="{00000000-0010-0000-0000-000027000000}" name="Mtc"/>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6.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238"/>
  <sheetViews>
    <sheetView topLeftCell="S1" workbookViewId="0">
      <selection activeCell="O23" sqref="O23"/>
    </sheetView>
  </sheetViews>
  <sheetFormatPr defaultRowHeight="14.4" x14ac:dyDescent="0.3"/>
  <cols>
    <col min="1" max="1" width="22" bestFit="1" customWidth="1"/>
    <col min="2" max="2" width="7.5546875" customWidth="1"/>
    <col min="3" max="3" width="83.21875" bestFit="1" customWidth="1"/>
    <col min="4" max="4" width="13.5546875" bestFit="1" customWidth="1"/>
    <col min="5" max="5" width="11.44140625" customWidth="1"/>
    <col min="6" max="6" width="35.88671875" bestFit="1" customWidth="1"/>
    <col min="7" max="7" width="48.6640625" bestFit="1" customWidth="1"/>
    <col min="8" max="8" width="25" bestFit="1" customWidth="1"/>
    <col min="9" max="9" width="14" customWidth="1"/>
    <col min="10" max="10" width="13.44140625" customWidth="1"/>
    <col min="11" max="11" width="20.5546875" bestFit="1" customWidth="1"/>
    <col min="12" max="12" width="7.44140625" customWidth="1"/>
    <col min="13" max="13" width="14" customWidth="1"/>
    <col min="14" max="14" width="14.5546875" customWidth="1"/>
    <col min="15" max="15" width="9.88671875" customWidth="1"/>
    <col min="16" max="16" width="12.77734375" customWidth="1"/>
    <col min="17" max="17" width="16.5546875" customWidth="1"/>
    <col min="18" max="18" width="6.6640625" customWidth="1"/>
    <col min="19" max="19" width="5.6640625" customWidth="1"/>
    <col min="20" max="21" width="4.6640625" customWidth="1"/>
    <col min="22" max="22" width="12.5546875" customWidth="1"/>
    <col min="23" max="23" width="11.88671875" customWidth="1"/>
    <col min="24" max="24" width="14.5546875" customWidth="1"/>
    <col min="25" max="25" width="16.6640625" customWidth="1"/>
    <col min="26" max="26" width="7.88671875" customWidth="1"/>
    <col min="27" max="27" width="6.21875" customWidth="1"/>
    <col min="28" max="28" width="15.21875" customWidth="1"/>
    <col min="29" max="29" width="7.6640625" customWidth="1"/>
    <col min="30" max="30" width="10.109375" customWidth="1"/>
    <col min="31" max="31" width="15.44140625" customWidth="1"/>
    <col min="32" max="32" width="9.44140625" customWidth="1"/>
    <col min="33" max="33" width="10.5546875" bestFit="1" customWidth="1"/>
    <col min="34" max="35" width="4.6640625" customWidth="1"/>
    <col min="36" max="36" width="13.21875" customWidth="1"/>
    <col min="37" max="37" width="14.5546875" customWidth="1"/>
    <col min="38" max="38" width="6" bestFit="1" customWidth="1"/>
    <col min="39" max="39" width="6.21875" customWidth="1"/>
  </cols>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v>12</v>
      </c>
      <c r="F2" t="s">
        <v>43</v>
      </c>
      <c r="G2" t="s">
        <v>44</v>
      </c>
      <c r="H2" t="s">
        <v>45</v>
      </c>
      <c r="I2" t="s">
        <v>46</v>
      </c>
      <c r="J2" t="s">
        <v>47</v>
      </c>
      <c r="K2" t="s">
        <v>48</v>
      </c>
      <c r="M2">
        <v>100</v>
      </c>
      <c r="N2">
        <v>95</v>
      </c>
      <c r="O2">
        <v>4</v>
      </c>
      <c r="P2">
        <v>2131</v>
      </c>
      <c r="Q2" t="s">
        <v>49</v>
      </c>
      <c r="R2">
        <v>1</v>
      </c>
      <c r="S2">
        <v>11</v>
      </c>
      <c r="T2">
        <v>203</v>
      </c>
      <c r="U2">
        <v>85</v>
      </c>
      <c r="V2">
        <v>23.41</v>
      </c>
      <c r="W2">
        <v>135.47</v>
      </c>
      <c r="X2">
        <v>40</v>
      </c>
      <c r="Y2">
        <v>0</v>
      </c>
      <c r="Z2">
        <v>6</v>
      </c>
      <c r="AA2">
        <v>4</v>
      </c>
    </row>
    <row r="3" spans="1:39" x14ac:dyDescent="0.3">
      <c r="A3" t="s">
        <v>50</v>
      </c>
      <c r="B3" t="s">
        <v>40</v>
      </c>
      <c r="C3" t="s">
        <v>51</v>
      </c>
      <c r="D3" t="s">
        <v>52</v>
      </c>
      <c r="E3">
        <v>11.5</v>
      </c>
      <c r="F3" t="s">
        <v>53</v>
      </c>
      <c r="G3" t="s">
        <v>54</v>
      </c>
      <c r="H3" t="s">
        <v>55</v>
      </c>
      <c r="I3" t="s">
        <v>56</v>
      </c>
      <c r="J3" t="s">
        <v>47</v>
      </c>
      <c r="K3" t="s">
        <v>57</v>
      </c>
      <c r="L3" t="s">
        <v>58</v>
      </c>
      <c r="M3">
        <v>9</v>
      </c>
      <c r="N3">
        <v>9</v>
      </c>
      <c r="O3">
        <v>1</v>
      </c>
      <c r="P3">
        <v>112</v>
      </c>
      <c r="Q3" t="s">
        <v>59</v>
      </c>
      <c r="R3">
        <v>0</v>
      </c>
      <c r="S3">
        <v>0</v>
      </c>
      <c r="T3">
        <v>9</v>
      </c>
      <c r="U3">
        <v>6</v>
      </c>
      <c r="V3">
        <v>14</v>
      </c>
      <c r="W3">
        <v>125.84</v>
      </c>
      <c r="X3">
        <v>7</v>
      </c>
      <c r="Y3">
        <v>0</v>
      </c>
      <c r="Z3">
        <v>0</v>
      </c>
      <c r="AA3">
        <v>0</v>
      </c>
      <c r="AB3">
        <v>1</v>
      </c>
      <c r="AC3">
        <v>1</v>
      </c>
      <c r="AD3">
        <v>0</v>
      </c>
      <c r="AE3">
        <v>13</v>
      </c>
      <c r="AF3">
        <v>0</v>
      </c>
      <c r="AG3" t="s">
        <v>60</v>
      </c>
      <c r="AH3">
        <v>0</v>
      </c>
      <c r="AI3">
        <v>0</v>
      </c>
      <c r="AK3">
        <v>13</v>
      </c>
      <c r="AM3">
        <v>1</v>
      </c>
    </row>
    <row r="4" spans="1:39" x14ac:dyDescent="0.3">
      <c r="A4" t="s">
        <v>61</v>
      </c>
      <c r="B4" t="s">
        <v>40</v>
      </c>
      <c r="C4" t="s">
        <v>62</v>
      </c>
      <c r="D4" t="s">
        <v>63</v>
      </c>
      <c r="E4">
        <v>9.25</v>
      </c>
      <c r="F4" t="s">
        <v>61</v>
      </c>
      <c r="G4" t="s">
        <v>64</v>
      </c>
      <c r="H4" t="s">
        <v>65</v>
      </c>
      <c r="I4" t="s">
        <v>66</v>
      </c>
      <c r="J4" t="s">
        <v>67</v>
      </c>
      <c r="K4" t="s">
        <v>68</v>
      </c>
      <c r="L4" t="s">
        <v>58</v>
      </c>
      <c r="M4">
        <v>50</v>
      </c>
      <c r="N4">
        <v>18</v>
      </c>
      <c r="O4">
        <v>8</v>
      </c>
      <c r="P4">
        <v>138</v>
      </c>
      <c r="Q4" t="s">
        <v>69</v>
      </c>
      <c r="R4">
        <v>0</v>
      </c>
      <c r="S4">
        <v>0</v>
      </c>
      <c r="T4">
        <v>11</v>
      </c>
      <c r="U4">
        <v>4</v>
      </c>
      <c r="V4">
        <v>13.8</v>
      </c>
      <c r="W4">
        <v>102.98</v>
      </c>
      <c r="X4">
        <v>23</v>
      </c>
      <c r="Y4">
        <v>0</v>
      </c>
      <c r="Z4">
        <v>5</v>
      </c>
      <c r="AA4">
        <v>2</v>
      </c>
      <c r="AB4">
        <v>50</v>
      </c>
      <c r="AC4">
        <v>190</v>
      </c>
      <c r="AD4">
        <v>2</v>
      </c>
      <c r="AE4">
        <v>1560</v>
      </c>
      <c r="AF4">
        <v>76</v>
      </c>
      <c r="AG4" t="s">
        <v>70</v>
      </c>
      <c r="AH4">
        <v>4</v>
      </c>
      <c r="AI4">
        <v>0</v>
      </c>
      <c r="AJ4">
        <v>20.52</v>
      </c>
      <c r="AK4">
        <v>8.2100000000000009</v>
      </c>
      <c r="AL4">
        <v>15</v>
      </c>
      <c r="AM4">
        <v>50</v>
      </c>
    </row>
    <row r="5" spans="1:39" x14ac:dyDescent="0.3">
      <c r="A5" t="s">
        <v>71</v>
      </c>
      <c r="B5" t="s">
        <v>40</v>
      </c>
      <c r="C5" t="s">
        <v>72</v>
      </c>
      <c r="D5" t="s">
        <v>52</v>
      </c>
      <c r="E5">
        <v>9</v>
      </c>
      <c r="F5" t="s">
        <v>73</v>
      </c>
      <c r="G5" t="s">
        <v>74</v>
      </c>
      <c r="H5" t="s">
        <v>75</v>
      </c>
      <c r="I5" t="s">
        <v>46</v>
      </c>
      <c r="J5" t="s">
        <v>47</v>
      </c>
      <c r="K5" t="s">
        <v>48</v>
      </c>
      <c r="M5">
        <v>11</v>
      </c>
      <c r="N5">
        <v>10</v>
      </c>
      <c r="O5">
        <v>3</v>
      </c>
      <c r="P5">
        <v>153</v>
      </c>
      <c r="Q5" t="s">
        <v>76</v>
      </c>
      <c r="R5">
        <v>0</v>
      </c>
      <c r="S5">
        <v>0</v>
      </c>
      <c r="T5">
        <v>9</v>
      </c>
      <c r="U5">
        <v>10</v>
      </c>
      <c r="V5">
        <v>21.85</v>
      </c>
      <c r="W5">
        <v>134.21</v>
      </c>
      <c r="X5">
        <v>4</v>
      </c>
      <c r="Y5">
        <v>0</v>
      </c>
      <c r="Z5">
        <v>1</v>
      </c>
      <c r="AA5">
        <v>1</v>
      </c>
    </row>
    <row r="6" spans="1:39" x14ac:dyDescent="0.3">
      <c r="A6" t="s">
        <v>77</v>
      </c>
      <c r="B6" t="s">
        <v>40</v>
      </c>
      <c r="C6" t="s">
        <v>78</v>
      </c>
      <c r="D6" t="s">
        <v>42</v>
      </c>
      <c r="E6">
        <v>8.25</v>
      </c>
      <c r="F6" t="s">
        <v>77</v>
      </c>
      <c r="G6" t="s">
        <v>79</v>
      </c>
      <c r="H6" t="s">
        <v>80</v>
      </c>
      <c r="I6" t="s">
        <v>46</v>
      </c>
      <c r="J6" t="s">
        <v>67</v>
      </c>
      <c r="K6" t="s">
        <v>48</v>
      </c>
      <c r="L6" t="s">
        <v>58</v>
      </c>
      <c r="M6">
        <v>192</v>
      </c>
      <c r="N6">
        <v>191</v>
      </c>
      <c r="O6">
        <v>25</v>
      </c>
      <c r="P6">
        <v>5784</v>
      </c>
      <c r="Q6" t="s">
        <v>81</v>
      </c>
      <c r="R6">
        <v>2</v>
      </c>
      <c r="S6">
        <v>44</v>
      </c>
      <c r="T6">
        <v>654</v>
      </c>
      <c r="U6">
        <v>124</v>
      </c>
      <c r="V6">
        <v>34.840000000000003</v>
      </c>
      <c r="W6">
        <v>126.64</v>
      </c>
      <c r="X6">
        <v>82</v>
      </c>
      <c r="Y6">
        <v>0</v>
      </c>
      <c r="Z6">
        <v>11</v>
      </c>
      <c r="AA6">
        <v>16</v>
      </c>
      <c r="AB6">
        <v>6</v>
      </c>
      <c r="AC6">
        <v>8</v>
      </c>
      <c r="AD6">
        <v>0</v>
      </c>
      <c r="AE6">
        <v>66</v>
      </c>
      <c r="AF6">
        <v>4</v>
      </c>
      <c r="AG6" t="s">
        <v>82</v>
      </c>
      <c r="AH6">
        <v>0</v>
      </c>
      <c r="AI6">
        <v>0</v>
      </c>
      <c r="AJ6">
        <v>16.5</v>
      </c>
      <c r="AK6">
        <v>8.25</v>
      </c>
      <c r="AL6">
        <v>12</v>
      </c>
      <c r="AM6">
        <v>6</v>
      </c>
    </row>
    <row r="7" spans="1:39" x14ac:dyDescent="0.3">
      <c r="A7" t="s">
        <v>83</v>
      </c>
      <c r="B7" t="s">
        <v>40</v>
      </c>
      <c r="C7" t="s">
        <v>84</v>
      </c>
      <c r="D7" t="s">
        <v>85</v>
      </c>
      <c r="E7">
        <v>6.75</v>
      </c>
      <c r="F7" t="s">
        <v>86</v>
      </c>
      <c r="G7" t="s">
        <v>87</v>
      </c>
      <c r="H7" t="s">
        <v>88</v>
      </c>
      <c r="I7" t="s">
        <v>56</v>
      </c>
      <c r="J7" t="s">
        <v>47</v>
      </c>
      <c r="K7" t="s">
        <v>89</v>
      </c>
      <c r="M7">
        <v>28</v>
      </c>
      <c r="N7">
        <v>28</v>
      </c>
      <c r="O7">
        <v>3</v>
      </c>
      <c r="P7">
        <v>1038</v>
      </c>
      <c r="Q7" t="s">
        <v>90</v>
      </c>
      <c r="R7">
        <v>1</v>
      </c>
      <c r="S7">
        <v>7</v>
      </c>
      <c r="T7">
        <v>99</v>
      </c>
      <c r="U7">
        <v>46</v>
      </c>
      <c r="V7">
        <v>41.52</v>
      </c>
      <c r="W7">
        <v>142.19</v>
      </c>
      <c r="X7">
        <v>18</v>
      </c>
      <c r="Y7">
        <v>4</v>
      </c>
      <c r="Z7">
        <v>2</v>
      </c>
      <c r="AA7">
        <v>0</v>
      </c>
    </row>
    <row r="8" spans="1:39" x14ac:dyDescent="0.3">
      <c r="A8" t="s">
        <v>91</v>
      </c>
      <c r="B8" t="s">
        <v>40</v>
      </c>
      <c r="C8" t="s">
        <v>92</v>
      </c>
      <c r="D8" t="s">
        <v>52</v>
      </c>
      <c r="E8">
        <v>6</v>
      </c>
      <c r="F8" t="s">
        <v>93</v>
      </c>
      <c r="G8" t="s">
        <v>94</v>
      </c>
      <c r="H8" t="s">
        <v>95</v>
      </c>
      <c r="I8" t="s">
        <v>96</v>
      </c>
      <c r="J8" t="s">
        <v>47</v>
      </c>
      <c r="K8" t="s">
        <v>89</v>
      </c>
    </row>
    <row r="9" spans="1:39" x14ac:dyDescent="0.3">
      <c r="A9" t="s">
        <v>97</v>
      </c>
      <c r="B9" t="s">
        <v>40</v>
      </c>
      <c r="C9" t="s">
        <v>98</v>
      </c>
      <c r="D9" t="s">
        <v>63</v>
      </c>
      <c r="E9">
        <v>5.25</v>
      </c>
      <c r="F9" t="s">
        <v>99</v>
      </c>
      <c r="G9" t="s">
        <v>100</v>
      </c>
      <c r="H9" t="s">
        <v>101</v>
      </c>
      <c r="I9" t="s">
        <v>46</v>
      </c>
      <c r="J9" t="s">
        <v>47</v>
      </c>
      <c r="K9" t="s">
        <v>102</v>
      </c>
      <c r="L9" t="s">
        <v>58</v>
      </c>
      <c r="M9">
        <v>42</v>
      </c>
      <c r="N9">
        <v>11</v>
      </c>
      <c r="O9">
        <v>4</v>
      </c>
      <c r="P9">
        <v>31</v>
      </c>
      <c r="Q9" t="s">
        <v>103</v>
      </c>
      <c r="R9">
        <v>0</v>
      </c>
      <c r="S9">
        <v>0</v>
      </c>
      <c r="T9">
        <v>3</v>
      </c>
      <c r="U9">
        <v>0</v>
      </c>
      <c r="V9">
        <v>4.42</v>
      </c>
      <c r="W9">
        <v>96.87</v>
      </c>
      <c r="X9">
        <v>11</v>
      </c>
      <c r="Y9">
        <v>0</v>
      </c>
      <c r="Z9">
        <v>4</v>
      </c>
      <c r="AA9">
        <v>1</v>
      </c>
      <c r="AB9">
        <v>41</v>
      </c>
      <c r="AC9">
        <v>150</v>
      </c>
      <c r="AD9">
        <v>0</v>
      </c>
      <c r="AE9">
        <v>1117</v>
      </c>
      <c r="AF9">
        <v>43</v>
      </c>
      <c r="AG9" t="s">
        <v>104</v>
      </c>
      <c r="AH9">
        <v>3</v>
      </c>
      <c r="AI9">
        <v>0</v>
      </c>
      <c r="AJ9">
        <v>25.97</v>
      </c>
      <c r="AK9">
        <v>7.44</v>
      </c>
      <c r="AL9">
        <v>20.93</v>
      </c>
      <c r="AM9">
        <v>41</v>
      </c>
    </row>
    <row r="10" spans="1:39" x14ac:dyDescent="0.3">
      <c r="A10" t="s">
        <v>105</v>
      </c>
      <c r="B10" t="s">
        <v>40</v>
      </c>
      <c r="C10" t="s">
        <v>106</v>
      </c>
      <c r="D10" t="s">
        <v>63</v>
      </c>
      <c r="E10">
        <v>4</v>
      </c>
      <c r="F10" t="s">
        <v>105</v>
      </c>
      <c r="G10" t="s">
        <v>107</v>
      </c>
      <c r="H10" t="s">
        <v>108</v>
      </c>
      <c r="I10" t="s">
        <v>46</v>
      </c>
      <c r="J10" t="s">
        <v>67</v>
      </c>
      <c r="K10" t="s">
        <v>109</v>
      </c>
      <c r="L10" t="s">
        <v>58</v>
      </c>
      <c r="M10">
        <v>23</v>
      </c>
      <c r="N10">
        <v>3</v>
      </c>
      <c r="O10">
        <v>2</v>
      </c>
      <c r="P10">
        <v>2</v>
      </c>
      <c r="Q10" t="s">
        <v>110</v>
      </c>
      <c r="R10">
        <v>0</v>
      </c>
      <c r="S10">
        <v>0</v>
      </c>
      <c r="T10">
        <v>0</v>
      </c>
      <c r="U10">
        <v>0</v>
      </c>
      <c r="V10">
        <v>2</v>
      </c>
      <c r="W10">
        <v>33.33</v>
      </c>
      <c r="X10">
        <v>6</v>
      </c>
      <c r="Y10">
        <v>0</v>
      </c>
      <c r="Z10">
        <v>1</v>
      </c>
      <c r="AA10">
        <v>0</v>
      </c>
      <c r="AB10">
        <v>23</v>
      </c>
      <c r="AC10">
        <v>76.099999999999994</v>
      </c>
      <c r="AD10">
        <v>1</v>
      </c>
      <c r="AE10">
        <v>669</v>
      </c>
      <c r="AF10">
        <v>30</v>
      </c>
      <c r="AG10" t="s">
        <v>111</v>
      </c>
      <c r="AH10">
        <v>3</v>
      </c>
      <c r="AI10">
        <v>1</v>
      </c>
      <c r="AJ10">
        <v>22.3</v>
      </c>
      <c r="AK10">
        <v>8.7799999999999994</v>
      </c>
      <c r="AL10">
        <v>15.23</v>
      </c>
      <c r="AM10">
        <v>23</v>
      </c>
    </row>
    <row r="11" spans="1:39" x14ac:dyDescent="0.3">
      <c r="A11" t="s">
        <v>112</v>
      </c>
      <c r="B11" t="s">
        <v>40</v>
      </c>
      <c r="C11" t="s">
        <v>113</v>
      </c>
      <c r="D11" t="s">
        <v>52</v>
      </c>
      <c r="E11">
        <v>3.8</v>
      </c>
      <c r="F11" t="s">
        <v>112</v>
      </c>
      <c r="G11" t="s">
        <v>114</v>
      </c>
      <c r="H11" t="s">
        <v>115</v>
      </c>
      <c r="I11" t="s">
        <v>46</v>
      </c>
      <c r="J11" t="s">
        <v>67</v>
      </c>
      <c r="K11" t="s">
        <v>116</v>
      </c>
      <c r="L11" t="s">
        <v>58</v>
      </c>
      <c r="M11">
        <v>10</v>
      </c>
      <c r="N11">
        <v>6</v>
      </c>
      <c r="O11">
        <v>6</v>
      </c>
      <c r="P11">
        <v>84</v>
      </c>
      <c r="Q11" t="s">
        <v>117</v>
      </c>
      <c r="R11">
        <v>0</v>
      </c>
      <c r="S11">
        <v>0</v>
      </c>
      <c r="T11">
        <v>5</v>
      </c>
      <c r="U11">
        <v>3</v>
      </c>
      <c r="W11">
        <v>120</v>
      </c>
      <c r="X11">
        <v>2</v>
      </c>
      <c r="Y11">
        <v>0</v>
      </c>
      <c r="Z11">
        <v>0</v>
      </c>
      <c r="AA11">
        <v>0</v>
      </c>
      <c r="AB11">
        <v>10</v>
      </c>
      <c r="AC11">
        <v>32</v>
      </c>
      <c r="AD11">
        <v>1</v>
      </c>
      <c r="AE11">
        <v>228</v>
      </c>
      <c r="AF11">
        <v>5</v>
      </c>
      <c r="AG11" t="s">
        <v>118</v>
      </c>
      <c r="AH11">
        <v>1</v>
      </c>
      <c r="AI11">
        <v>0</v>
      </c>
      <c r="AJ11">
        <v>45.6</v>
      </c>
      <c r="AK11">
        <v>7.12</v>
      </c>
      <c r="AL11">
        <v>38.4</v>
      </c>
      <c r="AM11">
        <v>10</v>
      </c>
    </row>
    <row r="12" spans="1:39" x14ac:dyDescent="0.3">
      <c r="A12" t="s">
        <v>119</v>
      </c>
      <c r="B12" t="s">
        <v>40</v>
      </c>
      <c r="C12" t="s">
        <v>120</v>
      </c>
      <c r="D12" t="s">
        <v>63</v>
      </c>
      <c r="E12">
        <v>2</v>
      </c>
      <c r="F12" t="s">
        <v>121</v>
      </c>
      <c r="G12" t="s">
        <v>122</v>
      </c>
      <c r="H12" t="s">
        <v>123</v>
      </c>
      <c r="I12" t="s">
        <v>46</v>
      </c>
      <c r="J12" t="s">
        <v>47</v>
      </c>
      <c r="K12" t="s">
        <v>124</v>
      </c>
    </row>
    <row r="13" spans="1:39" x14ac:dyDescent="0.3">
      <c r="A13" t="s">
        <v>125</v>
      </c>
      <c r="B13" t="s">
        <v>40</v>
      </c>
      <c r="C13" t="s">
        <v>126</v>
      </c>
      <c r="D13" t="s">
        <v>52</v>
      </c>
      <c r="E13">
        <v>2</v>
      </c>
      <c r="F13" t="s">
        <v>127</v>
      </c>
      <c r="G13" t="s">
        <v>128</v>
      </c>
      <c r="H13" t="s">
        <v>129</v>
      </c>
      <c r="I13" t="s">
        <v>46</v>
      </c>
      <c r="J13" t="s">
        <v>67</v>
      </c>
      <c r="K13" t="s">
        <v>130</v>
      </c>
    </row>
    <row r="14" spans="1:39" x14ac:dyDescent="0.3">
      <c r="A14" t="s">
        <v>131</v>
      </c>
      <c r="B14" t="s">
        <v>40</v>
      </c>
      <c r="C14" t="s">
        <v>132</v>
      </c>
      <c r="D14" t="s">
        <v>63</v>
      </c>
      <c r="E14">
        <v>0.75</v>
      </c>
      <c r="F14" t="s">
        <v>1418</v>
      </c>
      <c r="G14" t="s">
        <v>133</v>
      </c>
      <c r="H14" t="s">
        <v>134</v>
      </c>
      <c r="I14" t="s">
        <v>135</v>
      </c>
      <c r="J14" t="s">
        <v>47</v>
      </c>
      <c r="K14" t="s">
        <v>124</v>
      </c>
      <c r="L14" t="s">
        <v>58</v>
      </c>
      <c r="M14">
        <v>3</v>
      </c>
      <c r="N14">
        <v>2</v>
      </c>
      <c r="O14">
        <v>1</v>
      </c>
      <c r="P14">
        <v>18</v>
      </c>
      <c r="Q14" t="s">
        <v>136</v>
      </c>
      <c r="R14">
        <v>0</v>
      </c>
      <c r="S14">
        <v>0</v>
      </c>
      <c r="T14">
        <v>0</v>
      </c>
      <c r="U14">
        <v>1</v>
      </c>
      <c r="V14">
        <v>18</v>
      </c>
      <c r="W14">
        <v>112.5</v>
      </c>
      <c r="Z14">
        <v>0</v>
      </c>
      <c r="AA14">
        <v>0</v>
      </c>
      <c r="AB14">
        <v>3</v>
      </c>
      <c r="AC14">
        <v>11</v>
      </c>
      <c r="AD14">
        <v>0</v>
      </c>
      <c r="AE14">
        <v>90</v>
      </c>
      <c r="AF14">
        <v>1</v>
      </c>
      <c r="AG14" t="s">
        <v>137</v>
      </c>
      <c r="AH14">
        <v>0</v>
      </c>
      <c r="AI14">
        <v>0</v>
      </c>
      <c r="AJ14">
        <v>90</v>
      </c>
      <c r="AK14">
        <v>8.18</v>
      </c>
      <c r="AL14">
        <v>66</v>
      </c>
      <c r="AM14">
        <v>3</v>
      </c>
    </row>
    <row r="15" spans="1:39" x14ac:dyDescent="0.3">
      <c r="A15" t="s">
        <v>138</v>
      </c>
      <c r="B15" t="s">
        <v>40</v>
      </c>
      <c r="C15" t="s">
        <v>139</v>
      </c>
      <c r="D15" t="s">
        <v>85</v>
      </c>
      <c r="E15">
        <v>0.6</v>
      </c>
      <c r="F15" t="s">
        <v>138</v>
      </c>
      <c r="G15" s="1">
        <v>36748</v>
      </c>
      <c r="H15" t="s">
        <v>140</v>
      </c>
      <c r="I15" t="s">
        <v>46</v>
      </c>
      <c r="J15" t="s">
        <v>47</v>
      </c>
      <c r="M15">
        <v>5</v>
      </c>
      <c r="N15">
        <v>5</v>
      </c>
      <c r="O15">
        <v>0</v>
      </c>
      <c r="P15">
        <v>50</v>
      </c>
      <c r="Q15" t="s">
        <v>141</v>
      </c>
      <c r="R15">
        <v>0</v>
      </c>
      <c r="S15">
        <v>0</v>
      </c>
      <c r="T15">
        <v>4</v>
      </c>
      <c r="U15">
        <v>2</v>
      </c>
      <c r="V15">
        <v>10</v>
      </c>
      <c r="W15">
        <v>90.9</v>
      </c>
      <c r="X15">
        <v>2</v>
      </c>
      <c r="Y15">
        <v>0</v>
      </c>
      <c r="Z15">
        <v>0</v>
      </c>
      <c r="AA15">
        <v>0</v>
      </c>
    </row>
    <row r="16" spans="1:39" x14ac:dyDescent="0.3">
      <c r="A16" t="s">
        <v>142</v>
      </c>
      <c r="B16" t="s">
        <v>40</v>
      </c>
      <c r="C16" t="s">
        <v>143</v>
      </c>
      <c r="D16" t="s">
        <v>52</v>
      </c>
      <c r="E16">
        <v>0.55000000000000004</v>
      </c>
      <c r="F16" t="s">
        <v>142</v>
      </c>
      <c r="G16" t="s">
        <v>144</v>
      </c>
      <c r="H16" t="s">
        <v>145</v>
      </c>
      <c r="I16" t="s">
        <v>46</v>
      </c>
      <c r="J16" t="s">
        <v>47</v>
      </c>
      <c r="K16" t="s">
        <v>130</v>
      </c>
      <c r="L16" t="s">
        <v>58</v>
      </c>
      <c r="M16">
        <v>26</v>
      </c>
      <c r="N16">
        <v>17</v>
      </c>
      <c r="O16">
        <v>10</v>
      </c>
      <c r="P16">
        <v>153</v>
      </c>
      <c r="Q16" t="s">
        <v>146</v>
      </c>
      <c r="R16">
        <v>0</v>
      </c>
      <c r="S16">
        <v>0</v>
      </c>
      <c r="T16">
        <v>13</v>
      </c>
      <c r="U16">
        <v>4</v>
      </c>
      <c r="V16">
        <v>21.85</v>
      </c>
      <c r="W16">
        <v>113.33</v>
      </c>
      <c r="X16">
        <v>6</v>
      </c>
      <c r="Y16">
        <v>0</v>
      </c>
      <c r="Z16">
        <v>2</v>
      </c>
      <c r="AA16">
        <v>1</v>
      </c>
      <c r="AB16">
        <v>25</v>
      </c>
      <c r="AC16">
        <v>81.2</v>
      </c>
      <c r="AD16">
        <v>1</v>
      </c>
      <c r="AE16">
        <v>640</v>
      </c>
      <c r="AF16">
        <v>18</v>
      </c>
      <c r="AG16" t="s">
        <v>147</v>
      </c>
      <c r="AH16">
        <v>0</v>
      </c>
      <c r="AI16">
        <v>0</v>
      </c>
      <c r="AJ16">
        <v>35.549999999999997</v>
      </c>
      <c r="AK16">
        <v>7.86</v>
      </c>
      <c r="AL16">
        <v>27.11</v>
      </c>
      <c r="AM16">
        <v>25</v>
      </c>
    </row>
    <row r="17" spans="1:39" x14ac:dyDescent="0.3">
      <c r="A17" t="s">
        <v>148</v>
      </c>
      <c r="B17" t="s">
        <v>40</v>
      </c>
      <c r="C17" t="s">
        <v>149</v>
      </c>
      <c r="D17" t="s">
        <v>42</v>
      </c>
      <c r="E17">
        <v>0.5</v>
      </c>
      <c r="F17" t="s">
        <v>150</v>
      </c>
      <c r="G17" s="1">
        <v>33535</v>
      </c>
      <c r="H17" t="s">
        <v>151</v>
      </c>
      <c r="I17" t="s">
        <v>152</v>
      </c>
      <c r="L17" t="s">
        <v>153</v>
      </c>
    </row>
    <row r="18" spans="1:39" x14ac:dyDescent="0.3">
      <c r="A18" t="s">
        <v>154</v>
      </c>
      <c r="B18" t="s">
        <v>40</v>
      </c>
      <c r="C18" t="s">
        <v>155</v>
      </c>
      <c r="D18" t="s">
        <v>63</v>
      </c>
      <c r="E18">
        <v>0.5</v>
      </c>
      <c r="F18" t="s">
        <v>154</v>
      </c>
      <c r="G18" t="s">
        <v>156</v>
      </c>
      <c r="H18" t="s">
        <v>157</v>
      </c>
      <c r="I18" t="s">
        <v>46</v>
      </c>
      <c r="J18" t="s">
        <v>47</v>
      </c>
      <c r="K18" t="s">
        <v>89</v>
      </c>
      <c r="L18" t="s">
        <v>58</v>
      </c>
      <c r="M18">
        <v>99</v>
      </c>
      <c r="N18">
        <v>25</v>
      </c>
      <c r="O18">
        <v>19</v>
      </c>
      <c r="P18">
        <v>52</v>
      </c>
      <c r="Q18" t="s">
        <v>158</v>
      </c>
      <c r="R18">
        <v>0</v>
      </c>
      <c r="S18">
        <v>0</v>
      </c>
      <c r="T18">
        <v>4</v>
      </c>
      <c r="U18">
        <v>0</v>
      </c>
      <c r="V18">
        <v>8.66</v>
      </c>
      <c r="W18">
        <v>81.25</v>
      </c>
      <c r="X18">
        <v>12</v>
      </c>
      <c r="Y18">
        <v>0</v>
      </c>
      <c r="Z18">
        <v>9</v>
      </c>
      <c r="AA18">
        <v>1</v>
      </c>
      <c r="AB18">
        <v>99</v>
      </c>
      <c r="AC18">
        <v>366.2</v>
      </c>
      <c r="AD18">
        <v>8</v>
      </c>
      <c r="AE18">
        <v>2849</v>
      </c>
      <c r="AF18">
        <v>112</v>
      </c>
      <c r="AG18" t="s">
        <v>159</v>
      </c>
      <c r="AH18">
        <v>9</v>
      </c>
      <c r="AI18">
        <v>0</v>
      </c>
      <c r="AJ18">
        <v>25.43</v>
      </c>
      <c r="AK18">
        <v>7.77</v>
      </c>
      <c r="AL18">
        <v>19.62</v>
      </c>
      <c r="AM18">
        <v>99</v>
      </c>
    </row>
    <row r="19" spans="1:39" x14ac:dyDescent="0.3">
      <c r="A19" t="s">
        <v>160</v>
      </c>
      <c r="B19" t="s">
        <v>40</v>
      </c>
      <c r="C19" t="s">
        <v>161</v>
      </c>
      <c r="D19" t="s">
        <v>52</v>
      </c>
      <c r="E19">
        <v>0.4</v>
      </c>
      <c r="F19" t="s">
        <v>162</v>
      </c>
      <c r="G19" s="1">
        <v>32421</v>
      </c>
      <c r="H19" t="s">
        <v>163</v>
      </c>
      <c r="I19" t="s">
        <v>56</v>
      </c>
      <c r="L19" t="s">
        <v>153</v>
      </c>
    </row>
    <row r="20" spans="1:39" x14ac:dyDescent="0.3">
      <c r="A20" t="s">
        <v>164</v>
      </c>
      <c r="B20" t="s">
        <v>40</v>
      </c>
      <c r="C20" t="s">
        <v>165</v>
      </c>
      <c r="D20" t="s">
        <v>63</v>
      </c>
      <c r="E20">
        <v>0.25</v>
      </c>
      <c r="F20" t="s">
        <v>166</v>
      </c>
      <c r="G20" t="s">
        <v>167</v>
      </c>
      <c r="H20" t="s">
        <v>168</v>
      </c>
      <c r="I20" t="s">
        <v>46</v>
      </c>
      <c r="J20" t="s">
        <v>47</v>
      </c>
      <c r="K20" t="s">
        <v>89</v>
      </c>
      <c r="L20" t="s">
        <v>58</v>
      </c>
      <c r="M20">
        <v>1</v>
      </c>
      <c r="N20">
        <v>0</v>
      </c>
      <c r="O20">
        <v>0</v>
      </c>
      <c r="R20">
        <v>0</v>
      </c>
      <c r="S20">
        <v>0</v>
      </c>
      <c r="T20">
        <v>0</v>
      </c>
      <c r="U20">
        <v>0</v>
      </c>
      <c r="W20">
        <v>0</v>
      </c>
      <c r="Z20">
        <v>0</v>
      </c>
      <c r="AA20">
        <v>0</v>
      </c>
      <c r="AB20">
        <v>1</v>
      </c>
      <c r="AC20">
        <v>4</v>
      </c>
      <c r="AD20">
        <v>0</v>
      </c>
      <c r="AE20">
        <v>39</v>
      </c>
      <c r="AF20">
        <v>1</v>
      </c>
      <c r="AG20" t="s">
        <v>169</v>
      </c>
      <c r="AH20">
        <v>0</v>
      </c>
      <c r="AI20">
        <v>0</v>
      </c>
      <c r="AJ20">
        <v>39</v>
      </c>
      <c r="AK20">
        <v>9.75</v>
      </c>
      <c r="AL20">
        <v>24</v>
      </c>
      <c r="AM20">
        <v>1</v>
      </c>
    </row>
    <row r="21" spans="1:39" x14ac:dyDescent="0.3">
      <c r="A21" t="s">
        <v>170</v>
      </c>
      <c r="B21" t="s">
        <v>40</v>
      </c>
      <c r="C21" t="s">
        <v>171</v>
      </c>
      <c r="D21" t="s">
        <v>52</v>
      </c>
      <c r="E21">
        <v>0.2</v>
      </c>
      <c r="F21" t="s">
        <v>172</v>
      </c>
      <c r="G21" t="s">
        <v>173</v>
      </c>
      <c r="H21" t="s">
        <v>174</v>
      </c>
      <c r="I21" t="s">
        <v>46</v>
      </c>
      <c r="J21" t="s">
        <v>47</v>
      </c>
      <c r="K21" t="s">
        <v>89</v>
      </c>
    </row>
    <row r="22" spans="1:39" x14ac:dyDescent="0.3">
      <c r="A22" t="s">
        <v>175</v>
      </c>
      <c r="B22" t="s">
        <v>40</v>
      </c>
      <c r="C22" t="s">
        <v>176</v>
      </c>
      <c r="D22" t="s">
        <v>52</v>
      </c>
      <c r="E22">
        <v>0.2</v>
      </c>
      <c r="F22" t="s">
        <v>175</v>
      </c>
      <c r="G22" t="s">
        <v>177</v>
      </c>
      <c r="H22" t="s">
        <v>178</v>
      </c>
      <c r="I22" t="s">
        <v>46</v>
      </c>
      <c r="J22" t="s">
        <v>67</v>
      </c>
      <c r="K22" t="s">
        <v>116</v>
      </c>
    </row>
    <row r="23" spans="1:39" x14ac:dyDescent="0.3">
      <c r="A23" t="s">
        <v>179</v>
      </c>
      <c r="B23" t="s">
        <v>40</v>
      </c>
      <c r="C23" t="s">
        <v>180</v>
      </c>
      <c r="D23" t="s">
        <v>52</v>
      </c>
      <c r="E23">
        <v>0.2</v>
      </c>
      <c r="F23" t="s">
        <v>181</v>
      </c>
      <c r="G23" t="s">
        <v>182</v>
      </c>
      <c r="H23" t="s">
        <v>183</v>
      </c>
      <c r="I23" t="s">
        <v>46</v>
      </c>
      <c r="J23" t="s">
        <v>47</v>
      </c>
      <c r="K23" t="s">
        <v>116</v>
      </c>
    </row>
    <row r="24" spans="1:39" x14ac:dyDescent="0.3">
      <c r="A24" t="s">
        <v>184</v>
      </c>
      <c r="B24" t="s">
        <v>40</v>
      </c>
      <c r="C24" t="s">
        <v>185</v>
      </c>
      <c r="D24" t="s">
        <v>85</v>
      </c>
      <c r="E24">
        <v>0.2</v>
      </c>
      <c r="F24" t="s">
        <v>186</v>
      </c>
      <c r="G24" t="s">
        <v>187</v>
      </c>
      <c r="H24" t="s">
        <v>188</v>
      </c>
      <c r="I24" t="s">
        <v>46</v>
      </c>
      <c r="J24" t="s">
        <v>47</v>
      </c>
    </row>
    <row r="25" spans="1:39" x14ac:dyDescent="0.3">
      <c r="A25" t="s">
        <v>189</v>
      </c>
      <c r="B25" t="s">
        <v>40</v>
      </c>
      <c r="C25" t="s">
        <v>190</v>
      </c>
      <c r="D25" t="s">
        <v>52</v>
      </c>
      <c r="E25">
        <v>0.2</v>
      </c>
      <c r="F25" t="s">
        <v>191</v>
      </c>
      <c r="G25" t="s">
        <v>192</v>
      </c>
      <c r="H25" t="s">
        <v>193</v>
      </c>
      <c r="I25" t="s">
        <v>46</v>
      </c>
      <c r="J25" t="s">
        <v>47</v>
      </c>
      <c r="K25" t="s">
        <v>48</v>
      </c>
    </row>
    <row r="26" spans="1:39" x14ac:dyDescent="0.3">
      <c r="A26" t="s">
        <v>194</v>
      </c>
      <c r="B26" t="s">
        <v>40</v>
      </c>
      <c r="C26" t="s">
        <v>195</v>
      </c>
      <c r="D26" t="s">
        <v>63</v>
      </c>
      <c r="E26">
        <v>0.2</v>
      </c>
      <c r="F26" t="s">
        <v>196</v>
      </c>
      <c r="G26" t="s">
        <v>197</v>
      </c>
      <c r="H26" t="s">
        <v>198</v>
      </c>
      <c r="I26" t="s">
        <v>46</v>
      </c>
      <c r="J26" t="s">
        <v>47</v>
      </c>
      <c r="K26" t="s">
        <v>89</v>
      </c>
    </row>
    <row r="27" spans="1:39" x14ac:dyDescent="0.3">
      <c r="A27" t="s">
        <v>199</v>
      </c>
      <c r="B27" t="s">
        <v>200</v>
      </c>
      <c r="C27" t="s">
        <v>201</v>
      </c>
      <c r="D27" t="s">
        <v>42</v>
      </c>
      <c r="E27">
        <v>14</v>
      </c>
      <c r="F27" t="s">
        <v>202</v>
      </c>
      <c r="G27" t="s">
        <v>203</v>
      </c>
      <c r="H27" t="s">
        <v>204</v>
      </c>
      <c r="I27" t="s">
        <v>205</v>
      </c>
      <c r="J27" t="s">
        <v>47</v>
      </c>
      <c r="K27" t="s">
        <v>48</v>
      </c>
      <c r="L27" t="s">
        <v>58</v>
      </c>
      <c r="M27">
        <v>63</v>
      </c>
      <c r="N27">
        <v>62</v>
      </c>
      <c r="O27">
        <v>15</v>
      </c>
      <c r="P27">
        <v>1885</v>
      </c>
      <c r="Q27" t="s">
        <v>206</v>
      </c>
      <c r="R27">
        <v>0</v>
      </c>
      <c r="S27">
        <v>17</v>
      </c>
      <c r="T27">
        <v>165</v>
      </c>
      <c r="U27">
        <v>56</v>
      </c>
      <c r="V27">
        <v>40.1</v>
      </c>
      <c r="W27">
        <v>131.26</v>
      </c>
      <c r="X27">
        <v>29</v>
      </c>
      <c r="Y27">
        <v>0</v>
      </c>
      <c r="Z27">
        <v>1</v>
      </c>
      <c r="AA27">
        <v>3</v>
      </c>
      <c r="AB27">
        <v>2</v>
      </c>
      <c r="AC27">
        <v>3</v>
      </c>
      <c r="AD27">
        <v>0</v>
      </c>
      <c r="AE27">
        <v>31</v>
      </c>
      <c r="AF27">
        <v>0</v>
      </c>
      <c r="AG27" t="s">
        <v>207</v>
      </c>
      <c r="AH27">
        <v>0</v>
      </c>
      <c r="AI27">
        <v>0</v>
      </c>
      <c r="AK27">
        <v>10.33</v>
      </c>
      <c r="AM27">
        <v>2</v>
      </c>
    </row>
    <row r="28" spans="1:39" x14ac:dyDescent="0.3">
      <c r="A28" t="s">
        <v>208</v>
      </c>
      <c r="B28" t="s">
        <v>200</v>
      </c>
      <c r="C28" t="s">
        <v>209</v>
      </c>
      <c r="D28" t="s">
        <v>85</v>
      </c>
      <c r="E28">
        <v>10.75</v>
      </c>
      <c r="F28" t="s">
        <v>208</v>
      </c>
      <c r="G28" t="s">
        <v>210</v>
      </c>
      <c r="H28" t="s">
        <v>211</v>
      </c>
      <c r="I28" t="s">
        <v>96</v>
      </c>
      <c r="J28" t="s">
        <v>67</v>
      </c>
      <c r="M28">
        <v>33</v>
      </c>
      <c r="N28">
        <v>31</v>
      </c>
      <c r="O28">
        <v>4</v>
      </c>
      <c r="P28">
        <v>606</v>
      </c>
      <c r="Q28" t="s">
        <v>212</v>
      </c>
      <c r="R28">
        <v>0</v>
      </c>
      <c r="S28">
        <v>2</v>
      </c>
      <c r="T28">
        <v>35</v>
      </c>
      <c r="U28">
        <v>44</v>
      </c>
      <c r="V28">
        <v>22.44</v>
      </c>
      <c r="W28">
        <v>154.97999999999999</v>
      </c>
      <c r="X28">
        <v>11</v>
      </c>
      <c r="Y28">
        <v>0</v>
      </c>
      <c r="Z28">
        <v>5</v>
      </c>
      <c r="AA28">
        <v>1</v>
      </c>
    </row>
    <row r="29" spans="1:39" x14ac:dyDescent="0.3">
      <c r="A29" t="s">
        <v>213</v>
      </c>
      <c r="B29" t="s">
        <v>200</v>
      </c>
      <c r="C29" t="s">
        <v>214</v>
      </c>
      <c r="D29" t="s">
        <v>52</v>
      </c>
      <c r="E29">
        <v>8.75</v>
      </c>
      <c r="F29" t="s">
        <v>213</v>
      </c>
      <c r="G29" t="s">
        <v>215</v>
      </c>
      <c r="H29" t="s">
        <v>216</v>
      </c>
      <c r="I29" t="s">
        <v>46</v>
      </c>
      <c r="J29" t="s">
        <v>67</v>
      </c>
      <c r="K29" t="s">
        <v>48</v>
      </c>
      <c r="L29" t="s">
        <v>58</v>
      </c>
      <c r="M29">
        <v>42</v>
      </c>
      <c r="N29">
        <v>26</v>
      </c>
      <c r="O29">
        <v>10</v>
      </c>
      <c r="P29">
        <v>217</v>
      </c>
      <c r="Q29" t="s">
        <v>217</v>
      </c>
      <c r="R29">
        <v>0</v>
      </c>
      <c r="S29">
        <v>0</v>
      </c>
      <c r="T29">
        <v>17</v>
      </c>
      <c r="U29">
        <v>6</v>
      </c>
      <c r="V29">
        <v>13.56</v>
      </c>
      <c r="W29">
        <v>111.28</v>
      </c>
      <c r="X29">
        <v>9</v>
      </c>
      <c r="Y29">
        <v>0</v>
      </c>
      <c r="Z29">
        <v>4</v>
      </c>
      <c r="AA29">
        <v>0</v>
      </c>
      <c r="AB29">
        <v>41</v>
      </c>
      <c r="AC29">
        <v>125</v>
      </c>
      <c r="AD29">
        <v>1</v>
      </c>
      <c r="AE29">
        <v>867</v>
      </c>
      <c r="AF29">
        <v>27</v>
      </c>
      <c r="AG29" t="s">
        <v>218</v>
      </c>
      <c r="AH29">
        <v>2</v>
      </c>
      <c r="AI29">
        <v>0</v>
      </c>
      <c r="AJ29">
        <v>32.11</v>
      </c>
      <c r="AK29">
        <v>6.93</v>
      </c>
      <c r="AL29">
        <v>27.77</v>
      </c>
      <c r="AM29">
        <v>41</v>
      </c>
    </row>
    <row r="30" spans="1:39" x14ac:dyDescent="0.3">
      <c r="A30" t="s">
        <v>219</v>
      </c>
      <c r="B30" t="s">
        <v>200</v>
      </c>
      <c r="C30" t="s">
        <v>220</v>
      </c>
      <c r="D30" t="s">
        <v>42</v>
      </c>
      <c r="E30">
        <v>8.5</v>
      </c>
      <c r="F30" t="s">
        <v>221</v>
      </c>
      <c r="G30" t="s">
        <v>222</v>
      </c>
      <c r="H30" t="s">
        <v>223</v>
      </c>
      <c r="I30" t="s">
        <v>46</v>
      </c>
      <c r="J30" t="s">
        <v>47</v>
      </c>
      <c r="K30" t="s">
        <v>89</v>
      </c>
      <c r="L30" t="s">
        <v>58</v>
      </c>
      <c r="M30">
        <v>62</v>
      </c>
      <c r="N30">
        <v>60</v>
      </c>
      <c r="O30">
        <v>7</v>
      </c>
      <c r="P30">
        <v>1385</v>
      </c>
      <c r="Q30" t="s">
        <v>224</v>
      </c>
      <c r="R30">
        <v>0</v>
      </c>
      <c r="S30">
        <v>7</v>
      </c>
      <c r="T30">
        <v>136</v>
      </c>
      <c r="U30">
        <v>48</v>
      </c>
      <c r="V30">
        <v>26.13</v>
      </c>
      <c r="W30">
        <v>136.31</v>
      </c>
      <c r="X30">
        <v>23</v>
      </c>
      <c r="Y30">
        <v>0</v>
      </c>
      <c r="Z30">
        <v>1</v>
      </c>
      <c r="AA30">
        <v>4</v>
      </c>
      <c r="AB30">
        <v>1</v>
      </c>
      <c r="AC30">
        <v>1</v>
      </c>
      <c r="AD30">
        <v>0</v>
      </c>
      <c r="AE30">
        <v>12</v>
      </c>
      <c r="AF30">
        <v>0</v>
      </c>
      <c r="AG30" t="s">
        <v>225</v>
      </c>
      <c r="AH30">
        <v>0</v>
      </c>
      <c r="AI30">
        <v>0</v>
      </c>
      <c r="AK30">
        <v>12</v>
      </c>
      <c r="AM30">
        <v>1</v>
      </c>
    </row>
    <row r="31" spans="1:39" x14ac:dyDescent="0.3">
      <c r="A31" t="s">
        <v>226</v>
      </c>
      <c r="B31" t="s">
        <v>200</v>
      </c>
      <c r="C31" t="s">
        <v>227</v>
      </c>
      <c r="D31" t="s">
        <v>52</v>
      </c>
      <c r="E31">
        <v>7.75</v>
      </c>
      <c r="F31" t="s">
        <v>226</v>
      </c>
      <c r="G31" t="s">
        <v>228</v>
      </c>
      <c r="H31" t="s">
        <v>229</v>
      </c>
      <c r="I31" t="s">
        <v>96</v>
      </c>
      <c r="J31" t="s">
        <v>47</v>
      </c>
      <c r="K31" t="s">
        <v>130</v>
      </c>
    </row>
    <row r="32" spans="1:39" x14ac:dyDescent="0.3">
      <c r="A32" t="s">
        <v>230</v>
      </c>
      <c r="B32" t="s">
        <v>200</v>
      </c>
      <c r="C32" t="s">
        <v>231</v>
      </c>
      <c r="D32" t="s">
        <v>52</v>
      </c>
      <c r="E32">
        <v>6.5</v>
      </c>
      <c r="F32" t="s">
        <v>230</v>
      </c>
      <c r="G32" t="s">
        <v>232</v>
      </c>
      <c r="H32" t="s">
        <v>233</v>
      </c>
      <c r="I32" t="s">
        <v>46</v>
      </c>
      <c r="J32" t="s">
        <v>67</v>
      </c>
      <c r="K32" t="s">
        <v>116</v>
      </c>
      <c r="L32" t="s">
        <v>58</v>
      </c>
      <c r="M32">
        <v>22</v>
      </c>
      <c r="N32">
        <v>20</v>
      </c>
      <c r="O32">
        <v>6</v>
      </c>
      <c r="P32">
        <v>241</v>
      </c>
      <c r="Q32" t="s">
        <v>234</v>
      </c>
      <c r="R32">
        <v>0</v>
      </c>
      <c r="S32">
        <v>0</v>
      </c>
      <c r="T32">
        <v>17</v>
      </c>
      <c r="U32">
        <v>12</v>
      </c>
      <c r="V32">
        <v>17.21</v>
      </c>
      <c r="W32">
        <v>139.30000000000001</v>
      </c>
      <c r="X32">
        <v>5</v>
      </c>
      <c r="Y32">
        <v>0</v>
      </c>
      <c r="Z32">
        <v>0</v>
      </c>
      <c r="AA32">
        <v>1</v>
      </c>
      <c r="AB32">
        <v>14</v>
      </c>
      <c r="AC32">
        <v>22</v>
      </c>
      <c r="AD32">
        <v>0</v>
      </c>
      <c r="AE32">
        <v>176</v>
      </c>
      <c r="AF32">
        <v>7</v>
      </c>
      <c r="AG32" t="s">
        <v>235</v>
      </c>
      <c r="AH32">
        <v>0</v>
      </c>
      <c r="AI32">
        <v>0</v>
      </c>
      <c r="AJ32">
        <v>25.14</v>
      </c>
      <c r="AK32">
        <v>8</v>
      </c>
      <c r="AL32">
        <v>18.850000000000001</v>
      </c>
      <c r="AM32">
        <v>14</v>
      </c>
    </row>
    <row r="33" spans="1:39" x14ac:dyDescent="0.3">
      <c r="A33" t="s">
        <v>236</v>
      </c>
      <c r="B33" t="s">
        <v>200</v>
      </c>
      <c r="C33" t="s">
        <v>237</v>
      </c>
      <c r="D33" t="s">
        <v>63</v>
      </c>
      <c r="E33">
        <v>4.2</v>
      </c>
      <c r="F33" t="s">
        <v>238</v>
      </c>
      <c r="G33" t="s">
        <v>239</v>
      </c>
      <c r="H33" t="s">
        <v>240</v>
      </c>
      <c r="I33" t="s">
        <v>46</v>
      </c>
      <c r="J33" t="s">
        <v>47</v>
      </c>
      <c r="K33" t="s">
        <v>89</v>
      </c>
      <c r="L33" t="s">
        <v>58</v>
      </c>
      <c r="M33">
        <v>132</v>
      </c>
      <c r="N33">
        <v>51</v>
      </c>
      <c r="O33">
        <v>25</v>
      </c>
      <c r="P33">
        <v>217</v>
      </c>
      <c r="Q33" t="s">
        <v>241</v>
      </c>
      <c r="R33">
        <v>0</v>
      </c>
      <c r="S33">
        <v>0</v>
      </c>
      <c r="T33">
        <v>20</v>
      </c>
      <c r="U33">
        <v>3</v>
      </c>
      <c r="V33">
        <v>8.34</v>
      </c>
      <c r="W33">
        <v>96.87</v>
      </c>
      <c r="X33">
        <v>27</v>
      </c>
      <c r="Y33">
        <v>0</v>
      </c>
      <c r="Z33">
        <v>9</v>
      </c>
      <c r="AA33">
        <v>4</v>
      </c>
      <c r="AB33">
        <v>132</v>
      </c>
      <c r="AC33">
        <v>491.3</v>
      </c>
      <c r="AD33">
        <v>9</v>
      </c>
      <c r="AE33">
        <v>3588</v>
      </c>
      <c r="AF33">
        <v>142</v>
      </c>
      <c r="AG33" t="s">
        <v>242</v>
      </c>
      <c r="AH33">
        <v>9</v>
      </c>
      <c r="AI33">
        <v>1</v>
      </c>
      <c r="AJ33">
        <v>25.26</v>
      </c>
      <c r="AK33">
        <v>7.3</v>
      </c>
      <c r="AL33">
        <v>20.76</v>
      </c>
      <c r="AM33">
        <v>132</v>
      </c>
    </row>
    <row r="34" spans="1:39" x14ac:dyDescent="0.3">
      <c r="A34" t="s">
        <v>243</v>
      </c>
      <c r="B34" t="s">
        <v>200</v>
      </c>
      <c r="C34" t="s">
        <v>244</v>
      </c>
      <c r="D34" t="s">
        <v>52</v>
      </c>
      <c r="E34">
        <v>4.2</v>
      </c>
      <c r="F34" t="s">
        <v>243</v>
      </c>
      <c r="G34" t="s">
        <v>245</v>
      </c>
      <c r="H34" t="s">
        <v>246</v>
      </c>
      <c r="I34" t="s">
        <v>66</v>
      </c>
      <c r="J34" t="s">
        <v>47</v>
      </c>
      <c r="K34" t="s">
        <v>247</v>
      </c>
      <c r="L34" t="s">
        <v>58</v>
      </c>
      <c r="M34">
        <v>2</v>
      </c>
      <c r="N34">
        <v>2</v>
      </c>
      <c r="O34">
        <v>0</v>
      </c>
      <c r="P34">
        <v>0</v>
      </c>
      <c r="Q34" t="s">
        <v>248</v>
      </c>
      <c r="R34">
        <v>0</v>
      </c>
      <c r="S34">
        <v>0</v>
      </c>
      <c r="T34">
        <v>0</v>
      </c>
      <c r="U34">
        <v>0</v>
      </c>
      <c r="V34">
        <v>0</v>
      </c>
      <c r="W34">
        <v>0</v>
      </c>
      <c r="X34">
        <v>1</v>
      </c>
      <c r="Y34">
        <v>0</v>
      </c>
      <c r="Z34">
        <v>2</v>
      </c>
      <c r="AA34">
        <v>0</v>
      </c>
      <c r="AB34">
        <v>2</v>
      </c>
      <c r="AC34">
        <v>6</v>
      </c>
      <c r="AD34">
        <v>0</v>
      </c>
      <c r="AE34">
        <v>45</v>
      </c>
      <c r="AF34">
        <v>2</v>
      </c>
      <c r="AG34" t="s">
        <v>249</v>
      </c>
      <c r="AH34">
        <v>0</v>
      </c>
      <c r="AI34">
        <v>0</v>
      </c>
      <c r="AJ34">
        <v>22.5</v>
      </c>
      <c r="AK34">
        <v>7.5</v>
      </c>
      <c r="AL34">
        <v>18</v>
      </c>
      <c r="AM34">
        <v>2</v>
      </c>
    </row>
    <row r="35" spans="1:39" x14ac:dyDescent="0.3">
      <c r="A35" t="s">
        <v>250</v>
      </c>
      <c r="B35" t="s">
        <v>200</v>
      </c>
      <c r="C35" t="s">
        <v>251</v>
      </c>
      <c r="D35" t="s">
        <v>63</v>
      </c>
      <c r="E35">
        <v>4</v>
      </c>
      <c r="F35" t="s">
        <v>250</v>
      </c>
      <c r="G35" t="s">
        <v>252</v>
      </c>
      <c r="H35" t="s">
        <v>253</v>
      </c>
      <c r="I35" t="s">
        <v>46</v>
      </c>
      <c r="J35" t="s">
        <v>47</v>
      </c>
      <c r="K35" t="s">
        <v>130</v>
      </c>
      <c r="L35" t="s">
        <v>58</v>
      </c>
      <c r="M35">
        <v>3</v>
      </c>
      <c r="N35">
        <v>0</v>
      </c>
      <c r="O35">
        <v>0</v>
      </c>
      <c r="R35">
        <v>0</v>
      </c>
      <c r="S35">
        <v>0</v>
      </c>
      <c r="T35">
        <v>0</v>
      </c>
      <c r="U35">
        <v>0</v>
      </c>
      <c r="W35">
        <v>0</v>
      </c>
      <c r="Z35">
        <v>0</v>
      </c>
      <c r="AA35">
        <v>0</v>
      </c>
      <c r="AB35">
        <v>3</v>
      </c>
      <c r="AC35">
        <v>12</v>
      </c>
      <c r="AD35">
        <v>0</v>
      </c>
      <c r="AE35">
        <v>96</v>
      </c>
      <c r="AF35">
        <v>2</v>
      </c>
      <c r="AG35" t="s">
        <v>254</v>
      </c>
      <c r="AH35">
        <v>0</v>
      </c>
      <c r="AI35">
        <v>0</v>
      </c>
      <c r="AJ35">
        <v>48</v>
      </c>
      <c r="AK35">
        <v>8</v>
      </c>
      <c r="AL35">
        <v>36</v>
      </c>
      <c r="AM35">
        <v>3</v>
      </c>
    </row>
    <row r="36" spans="1:39" x14ac:dyDescent="0.3">
      <c r="A36" t="s">
        <v>255</v>
      </c>
      <c r="B36" t="s">
        <v>200</v>
      </c>
      <c r="C36" t="s">
        <v>256</v>
      </c>
      <c r="D36" t="s">
        <v>42</v>
      </c>
      <c r="E36">
        <v>4</v>
      </c>
      <c r="F36" t="s">
        <v>257</v>
      </c>
      <c r="G36" t="s">
        <v>258</v>
      </c>
      <c r="H36" t="s">
        <v>259</v>
      </c>
      <c r="I36" t="s">
        <v>46</v>
      </c>
      <c r="J36" t="s">
        <v>47</v>
      </c>
      <c r="K36" t="s">
        <v>57</v>
      </c>
      <c r="L36" t="s">
        <v>58</v>
      </c>
      <c r="M36">
        <v>23</v>
      </c>
      <c r="N36">
        <v>18</v>
      </c>
      <c r="O36">
        <v>4</v>
      </c>
      <c r="P36">
        <v>222</v>
      </c>
      <c r="Q36" t="s">
        <v>260</v>
      </c>
      <c r="R36">
        <v>0</v>
      </c>
      <c r="S36">
        <v>0</v>
      </c>
      <c r="T36">
        <v>12</v>
      </c>
      <c r="U36">
        <v>14</v>
      </c>
      <c r="V36">
        <v>15.85</v>
      </c>
      <c r="W36">
        <v>146.05000000000001</v>
      </c>
      <c r="X36">
        <v>13</v>
      </c>
      <c r="Y36">
        <v>0</v>
      </c>
      <c r="Z36">
        <v>2</v>
      </c>
      <c r="AA36">
        <v>1</v>
      </c>
      <c r="AB36">
        <v>4</v>
      </c>
      <c r="AC36">
        <v>8</v>
      </c>
      <c r="AD36">
        <v>0</v>
      </c>
      <c r="AE36">
        <v>105</v>
      </c>
      <c r="AF36">
        <v>2</v>
      </c>
      <c r="AG36" t="s">
        <v>261</v>
      </c>
      <c r="AH36">
        <v>0</v>
      </c>
      <c r="AI36">
        <v>0</v>
      </c>
      <c r="AJ36">
        <v>52.5</v>
      </c>
      <c r="AK36">
        <v>13.12</v>
      </c>
      <c r="AL36">
        <v>24</v>
      </c>
      <c r="AM36">
        <v>4</v>
      </c>
    </row>
    <row r="37" spans="1:39" x14ac:dyDescent="0.3">
      <c r="A37" t="s">
        <v>262</v>
      </c>
      <c r="B37" t="s">
        <v>200</v>
      </c>
      <c r="C37" t="s">
        <v>263</v>
      </c>
      <c r="D37" t="s">
        <v>63</v>
      </c>
      <c r="E37">
        <v>4</v>
      </c>
      <c r="F37" t="s">
        <v>264</v>
      </c>
      <c r="G37" t="s">
        <v>265</v>
      </c>
      <c r="H37" t="s">
        <v>266</v>
      </c>
      <c r="I37" t="s">
        <v>46</v>
      </c>
      <c r="J37" t="s">
        <v>67</v>
      </c>
      <c r="K37" t="s">
        <v>267</v>
      </c>
      <c r="L37" t="s">
        <v>58</v>
      </c>
      <c r="M37">
        <v>24</v>
      </c>
      <c r="N37">
        <v>4</v>
      </c>
      <c r="O37">
        <v>4</v>
      </c>
      <c r="P37">
        <v>3</v>
      </c>
      <c r="Q37" t="s">
        <v>268</v>
      </c>
      <c r="R37">
        <v>0</v>
      </c>
      <c r="S37">
        <v>0</v>
      </c>
      <c r="T37">
        <v>0</v>
      </c>
      <c r="U37">
        <v>0</v>
      </c>
      <c r="W37">
        <v>60</v>
      </c>
      <c r="X37">
        <v>3</v>
      </c>
      <c r="Y37">
        <v>0</v>
      </c>
      <c r="Z37">
        <v>3</v>
      </c>
      <c r="AA37">
        <v>0</v>
      </c>
      <c r="AB37">
        <v>24</v>
      </c>
      <c r="AC37">
        <v>83.3</v>
      </c>
      <c r="AD37">
        <v>1</v>
      </c>
      <c r="AE37">
        <v>688</v>
      </c>
      <c r="AF37">
        <v>20</v>
      </c>
      <c r="AG37" t="s">
        <v>269</v>
      </c>
      <c r="AH37">
        <v>0</v>
      </c>
      <c r="AI37">
        <v>0</v>
      </c>
      <c r="AJ37">
        <v>34.4</v>
      </c>
      <c r="AK37">
        <v>8.23</v>
      </c>
      <c r="AL37">
        <v>25.05</v>
      </c>
      <c r="AM37">
        <v>24</v>
      </c>
    </row>
    <row r="38" spans="1:39" x14ac:dyDescent="0.3">
      <c r="A38" t="s">
        <v>270</v>
      </c>
      <c r="B38" t="s">
        <v>200</v>
      </c>
      <c r="C38" t="s">
        <v>271</v>
      </c>
      <c r="D38" t="s">
        <v>63</v>
      </c>
      <c r="E38">
        <v>4</v>
      </c>
      <c r="F38" t="s">
        <v>270</v>
      </c>
      <c r="G38" t="s">
        <v>272</v>
      </c>
      <c r="H38" t="s">
        <v>273</v>
      </c>
      <c r="I38" t="s">
        <v>46</v>
      </c>
      <c r="J38" t="s">
        <v>47</v>
      </c>
      <c r="K38" t="s">
        <v>130</v>
      </c>
      <c r="L38" t="s">
        <v>58</v>
      </c>
      <c r="M38">
        <v>14</v>
      </c>
      <c r="N38">
        <v>5</v>
      </c>
      <c r="O38">
        <v>3</v>
      </c>
      <c r="P38">
        <v>6</v>
      </c>
      <c r="Q38" t="s">
        <v>274</v>
      </c>
      <c r="R38">
        <v>0</v>
      </c>
      <c r="S38">
        <v>0</v>
      </c>
      <c r="T38">
        <v>0</v>
      </c>
      <c r="U38">
        <v>0</v>
      </c>
      <c r="V38">
        <v>3</v>
      </c>
      <c r="W38">
        <v>60</v>
      </c>
      <c r="X38">
        <v>3</v>
      </c>
      <c r="Y38">
        <v>0</v>
      </c>
      <c r="Z38">
        <v>1</v>
      </c>
      <c r="AA38">
        <v>0</v>
      </c>
      <c r="AB38">
        <v>14</v>
      </c>
      <c r="AC38">
        <v>52.1</v>
      </c>
      <c r="AD38">
        <v>0</v>
      </c>
      <c r="AE38">
        <v>491</v>
      </c>
      <c r="AF38">
        <v>13</v>
      </c>
      <c r="AG38" t="s">
        <v>275</v>
      </c>
      <c r="AH38">
        <v>0</v>
      </c>
      <c r="AI38">
        <v>0</v>
      </c>
      <c r="AJ38">
        <v>37.76</v>
      </c>
      <c r="AK38">
        <v>9.41</v>
      </c>
      <c r="AL38">
        <v>24.07</v>
      </c>
      <c r="AM38">
        <v>14</v>
      </c>
    </row>
    <row r="39" spans="1:39" x14ac:dyDescent="0.3">
      <c r="A39" t="s">
        <v>276</v>
      </c>
      <c r="B39" t="s">
        <v>200</v>
      </c>
      <c r="C39" t="s">
        <v>277</v>
      </c>
      <c r="D39" t="s">
        <v>42</v>
      </c>
      <c r="E39">
        <v>2.6</v>
      </c>
      <c r="F39" t="s">
        <v>278</v>
      </c>
      <c r="G39" t="s">
        <v>279</v>
      </c>
      <c r="H39" t="s">
        <v>280</v>
      </c>
      <c r="I39" t="s">
        <v>66</v>
      </c>
      <c r="J39" t="s">
        <v>47</v>
      </c>
      <c r="K39" t="s">
        <v>48</v>
      </c>
      <c r="L39" t="s">
        <v>58</v>
      </c>
      <c r="M39">
        <v>6</v>
      </c>
      <c r="N39">
        <v>6</v>
      </c>
      <c r="O39">
        <v>1</v>
      </c>
      <c r="P39">
        <v>146</v>
      </c>
      <c r="Q39" t="s">
        <v>281</v>
      </c>
      <c r="R39">
        <v>0</v>
      </c>
      <c r="S39">
        <v>0</v>
      </c>
      <c r="T39">
        <v>12</v>
      </c>
      <c r="U39">
        <v>4</v>
      </c>
      <c r="V39">
        <v>29.2</v>
      </c>
      <c r="W39">
        <v>122.68</v>
      </c>
      <c r="X39">
        <v>3</v>
      </c>
      <c r="Y39">
        <v>0</v>
      </c>
      <c r="Z39">
        <v>0</v>
      </c>
      <c r="AA39">
        <v>0</v>
      </c>
      <c r="AB39">
        <v>2</v>
      </c>
      <c r="AC39">
        <v>4</v>
      </c>
      <c r="AD39">
        <v>0</v>
      </c>
      <c r="AE39">
        <v>23</v>
      </c>
      <c r="AF39">
        <v>0</v>
      </c>
      <c r="AG39" t="s">
        <v>282</v>
      </c>
      <c r="AH39">
        <v>0</v>
      </c>
      <c r="AI39">
        <v>0</v>
      </c>
      <c r="AK39">
        <v>5.75</v>
      </c>
      <c r="AM39">
        <v>2</v>
      </c>
    </row>
    <row r="40" spans="1:39" x14ac:dyDescent="0.3">
      <c r="A40" t="s">
        <v>283</v>
      </c>
      <c r="B40" t="s">
        <v>200</v>
      </c>
      <c r="C40" t="s">
        <v>284</v>
      </c>
      <c r="D40" t="s">
        <v>63</v>
      </c>
      <c r="E40">
        <v>2.4</v>
      </c>
      <c r="F40" t="s">
        <v>285</v>
      </c>
      <c r="G40" t="s">
        <v>286</v>
      </c>
      <c r="H40" t="s">
        <v>287</v>
      </c>
      <c r="I40" t="s">
        <v>135</v>
      </c>
      <c r="J40" t="s">
        <v>47</v>
      </c>
      <c r="K40" t="s">
        <v>124</v>
      </c>
      <c r="L40" t="s">
        <v>58</v>
      </c>
      <c r="M40">
        <v>2</v>
      </c>
      <c r="N40">
        <v>2</v>
      </c>
      <c r="O40">
        <v>0</v>
      </c>
      <c r="P40">
        <v>15</v>
      </c>
      <c r="Q40" t="s">
        <v>288</v>
      </c>
      <c r="R40">
        <v>0</v>
      </c>
      <c r="S40">
        <v>0</v>
      </c>
      <c r="T40">
        <v>1</v>
      </c>
      <c r="U40">
        <v>1</v>
      </c>
      <c r="V40">
        <v>7.5</v>
      </c>
      <c r="W40">
        <v>115.38</v>
      </c>
      <c r="Z40">
        <v>0</v>
      </c>
      <c r="AA40">
        <v>1</v>
      </c>
      <c r="AB40">
        <v>2</v>
      </c>
      <c r="AC40">
        <v>5</v>
      </c>
      <c r="AD40">
        <v>0</v>
      </c>
      <c r="AE40">
        <v>57</v>
      </c>
      <c r="AF40">
        <v>0</v>
      </c>
      <c r="AG40" t="s">
        <v>289</v>
      </c>
      <c r="AH40">
        <v>0</v>
      </c>
      <c r="AI40">
        <v>0</v>
      </c>
      <c r="AK40">
        <v>11.4</v>
      </c>
      <c r="AM40">
        <v>2</v>
      </c>
    </row>
    <row r="41" spans="1:39" x14ac:dyDescent="0.3">
      <c r="A41" t="s">
        <v>290</v>
      </c>
      <c r="B41" t="s">
        <v>200</v>
      </c>
      <c r="C41" t="s">
        <v>291</v>
      </c>
      <c r="D41" t="s">
        <v>85</v>
      </c>
      <c r="E41">
        <v>1.5</v>
      </c>
      <c r="F41" t="s">
        <v>292</v>
      </c>
      <c r="G41" t="s">
        <v>293</v>
      </c>
      <c r="H41" t="s">
        <v>294</v>
      </c>
      <c r="I41" t="s">
        <v>205</v>
      </c>
      <c r="J41" t="s">
        <v>47</v>
      </c>
      <c r="K41" t="s">
        <v>48</v>
      </c>
      <c r="L41" t="s">
        <v>58</v>
      </c>
      <c r="M41">
        <v>3</v>
      </c>
      <c r="N41">
        <v>3</v>
      </c>
      <c r="O41">
        <v>1</v>
      </c>
      <c r="P41">
        <v>26</v>
      </c>
      <c r="Q41" t="s">
        <v>295</v>
      </c>
      <c r="R41">
        <v>0</v>
      </c>
      <c r="S41">
        <v>0</v>
      </c>
      <c r="T41">
        <v>1</v>
      </c>
      <c r="U41">
        <v>2</v>
      </c>
      <c r="V41">
        <v>13</v>
      </c>
      <c r="W41">
        <v>78.78</v>
      </c>
      <c r="X41">
        <v>1</v>
      </c>
      <c r="Y41">
        <v>0</v>
      </c>
      <c r="Z41">
        <v>0</v>
      </c>
      <c r="AA41">
        <v>0</v>
      </c>
      <c r="AB41">
        <v>2</v>
      </c>
      <c r="AC41">
        <v>2</v>
      </c>
      <c r="AD41">
        <v>0</v>
      </c>
      <c r="AE41">
        <v>20</v>
      </c>
      <c r="AF41">
        <v>1</v>
      </c>
      <c r="AG41" t="s">
        <v>296</v>
      </c>
      <c r="AH41">
        <v>0</v>
      </c>
      <c r="AI41">
        <v>0</v>
      </c>
      <c r="AJ41">
        <v>20</v>
      </c>
      <c r="AK41">
        <v>10</v>
      </c>
      <c r="AL41">
        <v>12</v>
      </c>
      <c r="AM41">
        <v>2</v>
      </c>
    </row>
    <row r="42" spans="1:39" x14ac:dyDescent="0.3">
      <c r="A42" t="s">
        <v>297</v>
      </c>
      <c r="B42" t="s">
        <v>200</v>
      </c>
      <c r="C42" t="s">
        <v>298</v>
      </c>
      <c r="D42" t="s">
        <v>63</v>
      </c>
      <c r="E42">
        <v>0.75</v>
      </c>
      <c r="F42" t="s">
        <v>297</v>
      </c>
      <c r="G42" t="s">
        <v>299</v>
      </c>
      <c r="H42" t="s">
        <v>300</v>
      </c>
      <c r="I42" t="s">
        <v>46</v>
      </c>
      <c r="J42" t="s">
        <v>47</v>
      </c>
      <c r="K42" t="s">
        <v>57</v>
      </c>
      <c r="L42" t="s">
        <v>58</v>
      </c>
      <c r="M42">
        <v>48</v>
      </c>
      <c r="N42">
        <v>21</v>
      </c>
      <c r="O42">
        <v>7</v>
      </c>
      <c r="P42">
        <v>171</v>
      </c>
      <c r="Q42" t="s">
        <v>301</v>
      </c>
      <c r="R42">
        <v>0</v>
      </c>
      <c r="S42">
        <v>0</v>
      </c>
      <c r="T42">
        <v>17</v>
      </c>
      <c r="U42">
        <v>2</v>
      </c>
      <c r="V42">
        <v>12.21</v>
      </c>
      <c r="W42">
        <v>105.55</v>
      </c>
      <c r="X42">
        <v>11</v>
      </c>
      <c r="Y42">
        <v>0</v>
      </c>
      <c r="Z42">
        <v>4</v>
      </c>
      <c r="AA42">
        <v>2</v>
      </c>
      <c r="AB42">
        <v>47</v>
      </c>
      <c r="AC42">
        <v>155.1</v>
      </c>
      <c r="AD42">
        <v>1</v>
      </c>
      <c r="AE42">
        <v>1247</v>
      </c>
      <c r="AF42">
        <v>48</v>
      </c>
      <c r="AG42" t="s">
        <v>302</v>
      </c>
      <c r="AH42">
        <v>4</v>
      </c>
      <c r="AI42">
        <v>0</v>
      </c>
      <c r="AJ42">
        <v>25.97</v>
      </c>
      <c r="AK42">
        <v>8.0299999999999994</v>
      </c>
      <c r="AL42">
        <v>19.39</v>
      </c>
      <c r="AM42">
        <v>47</v>
      </c>
    </row>
    <row r="43" spans="1:39" x14ac:dyDescent="0.3">
      <c r="A43" t="s">
        <v>303</v>
      </c>
      <c r="B43" t="s">
        <v>200</v>
      </c>
      <c r="C43" t="s">
        <v>304</v>
      </c>
      <c r="D43" t="s">
        <v>63</v>
      </c>
      <c r="E43">
        <v>0.5</v>
      </c>
      <c r="F43" t="s">
        <v>303</v>
      </c>
      <c r="G43" t="s">
        <v>305</v>
      </c>
      <c r="H43" t="s">
        <v>306</v>
      </c>
      <c r="I43" t="s">
        <v>307</v>
      </c>
      <c r="J43" t="s">
        <v>47</v>
      </c>
      <c r="K43" t="s">
        <v>267</v>
      </c>
    </row>
    <row r="44" spans="1:39" x14ac:dyDescent="0.3">
      <c r="A44" t="s">
        <v>308</v>
      </c>
      <c r="B44" t="s">
        <v>200</v>
      </c>
      <c r="C44" t="s">
        <v>309</v>
      </c>
      <c r="D44" t="s">
        <v>85</v>
      </c>
      <c r="E44">
        <v>0.5</v>
      </c>
      <c r="F44" t="s">
        <v>308</v>
      </c>
      <c r="G44" t="s">
        <v>310</v>
      </c>
      <c r="H44" t="s">
        <v>311</v>
      </c>
      <c r="I44" t="s">
        <v>46</v>
      </c>
      <c r="J44" t="s">
        <v>47</v>
      </c>
      <c r="M44">
        <v>3</v>
      </c>
      <c r="N44">
        <v>3</v>
      </c>
      <c r="O44">
        <v>0</v>
      </c>
      <c r="P44">
        <v>19</v>
      </c>
      <c r="Q44" t="s">
        <v>312</v>
      </c>
      <c r="R44">
        <v>0</v>
      </c>
      <c r="S44">
        <v>0</v>
      </c>
      <c r="T44">
        <v>1</v>
      </c>
      <c r="U44">
        <v>1</v>
      </c>
      <c r="V44">
        <v>6.33</v>
      </c>
      <c r="W44">
        <v>73.069999999999993</v>
      </c>
      <c r="X44">
        <v>0</v>
      </c>
      <c r="Y44">
        <v>2</v>
      </c>
      <c r="Z44">
        <v>0</v>
      </c>
      <c r="AA44">
        <v>1</v>
      </c>
    </row>
    <row r="45" spans="1:39" x14ac:dyDescent="0.3">
      <c r="A45" t="s">
        <v>313</v>
      </c>
      <c r="B45" t="s">
        <v>200</v>
      </c>
      <c r="C45" t="s">
        <v>314</v>
      </c>
      <c r="D45" t="s">
        <v>42</v>
      </c>
      <c r="E45">
        <v>0.2</v>
      </c>
      <c r="F45" t="s">
        <v>315</v>
      </c>
      <c r="G45" t="s">
        <v>316</v>
      </c>
      <c r="H45" t="s">
        <v>317</v>
      </c>
      <c r="I45" t="s">
        <v>46</v>
      </c>
      <c r="J45" t="s">
        <v>47</v>
      </c>
      <c r="K45" t="s">
        <v>89</v>
      </c>
      <c r="M45">
        <v>19</v>
      </c>
      <c r="N45">
        <v>15</v>
      </c>
      <c r="O45">
        <v>1</v>
      </c>
      <c r="P45">
        <v>205</v>
      </c>
      <c r="Q45" t="s">
        <v>318</v>
      </c>
      <c r="R45">
        <v>0</v>
      </c>
      <c r="S45">
        <v>1</v>
      </c>
      <c r="T45">
        <v>11</v>
      </c>
      <c r="U45">
        <v>7</v>
      </c>
      <c r="V45">
        <v>14.64</v>
      </c>
      <c r="W45">
        <v>110.81</v>
      </c>
      <c r="X45">
        <v>6</v>
      </c>
      <c r="Y45">
        <v>0</v>
      </c>
      <c r="Z45">
        <v>2</v>
      </c>
      <c r="AA45">
        <v>1</v>
      </c>
    </row>
    <row r="46" spans="1:39" x14ac:dyDescent="0.3">
      <c r="A46" t="s">
        <v>319</v>
      </c>
      <c r="B46" t="s">
        <v>200</v>
      </c>
      <c r="C46" t="s">
        <v>320</v>
      </c>
      <c r="D46" t="s">
        <v>63</v>
      </c>
      <c r="E46">
        <v>0.2</v>
      </c>
      <c r="F46" t="s">
        <v>319</v>
      </c>
      <c r="G46" s="1">
        <v>35818</v>
      </c>
      <c r="H46" t="s">
        <v>321</v>
      </c>
      <c r="I46" t="s">
        <v>46</v>
      </c>
      <c r="J46" t="s">
        <v>47</v>
      </c>
      <c r="K46" t="s">
        <v>109</v>
      </c>
    </row>
    <row r="47" spans="1:39" x14ac:dyDescent="0.3">
      <c r="A47" t="s">
        <v>322</v>
      </c>
      <c r="B47" t="s">
        <v>200</v>
      </c>
      <c r="C47" t="s">
        <v>323</v>
      </c>
      <c r="D47" t="s">
        <v>63</v>
      </c>
      <c r="E47">
        <v>0.2</v>
      </c>
      <c r="F47" t="s">
        <v>322</v>
      </c>
      <c r="G47" t="s">
        <v>324</v>
      </c>
      <c r="H47" t="s">
        <v>325</v>
      </c>
      <c r="I47" t="s">
        <v>46</v>
      </c>
      <c r="J47" t="s">
        <v>67</v>
      </c>
      <c r="K47" t="s">
        <v>116</v>
      </c>
      <c r="L47" t="s">
        <v>58</v>
      </c>
      <c r="M47">
        <v>17</v>
      </c>
      <c r="N47">
        <v>8</v>
      </c>
      <c r="O47">
        <v>6</v>
      </c>
      <c r="P47">
        <v>68</v>
      </c>
      <c r="Q47" t="s">
        <v>326</v>
      </c>
      <c r="R47">
        <v>0</v>
      </c>
      <c r="S47">
        <v>0</v>
      </c>
      <c r="T47">
        <v>6</v>
      </c>
      <c r="U47">
        <v>3</v>
      </c>
      <c r="V47">
        <v>34</v>
      </c>
      <c r="W47">
        <v>128.30000000000001</v>
      </c>
      <c r="X47">
        <v>9</v>
      </c>
      <c r="Y47">
        <v>0</v>
      </c>
      <c r="Z47">
        <v>2</v>
      </c>
      <c r="AA47">
        <v>1</v>
      </c>
      <c r="AB47">
        <v>16</v>
      </c>
      <c r="AC47">
        <v>52</v>
      </c>
      <c r="AD47">
        <v>0</v>
      </c>
      <c r="AE47">
        <v>462</v>
      </c>
      <c r="AF47">
        <v>12</v>
      </c>
      <c r="AG47" t="s">
        <v>327</v>
      </c>
      <c r="AH47">
        <v>0</v>
      </c>
      <c r="AI47">
        <v>0</v>
      </c>
      <c r="AJ47">
        <v>38.5</v>
      </c>
      <c r="AK47">
        <v>8.8800000000000008</v>
      </c>
      <c r="AL47">
        <v>26</v>
      </c>
      <c r="AM47">
        <v>16</v>
      </c>
    </row>
    <row r="48" spans="1:39" x14ac:dyDescent="0.3">
      <c r="A48" t="s">
        <v>328</v>
      </c>
      <c r="B48" t="s">
        <v>200</v>
      </c>
      <c r="C48" t="s">
        <v>329</v>
      </c>
      <c r="D48" t="s">
        <v>52</v>
      </c>
      <c r="E48">
        <v>0.2</v>
      </c>
      <c r="F48" t="s">
        <v>328</v>
      </c>
      <c r="G48" t="s">
        <v>330</v>
      </c>
      <c r="H48" t="s">
        <v>331</v>
      </c>
      <c r="I48" t="s">
        <v>46</v>
      </c>
      <c r="J48" t="s">
        <v>47</v>
      </c>
      <c r="K48" t="s">
        <v>48</v>
      </c>
    </row>
    <row r="49" spans="1:39" x14ac:dyDescent="0.3">
      <c r="A49" t="s">
        <v>332</v>
      </c>
      <c r="B49" t="s">
        <v>200</v>
      </c>
      <c r="C49" t="s">
        <v>333</v>
      </c>
      <c r="D49" t="s">
        <v>42</v>
      </c>
      <c r="E49">
        <v>0.2</v>
      </c>
      <c r="F49" t="s">
        <v>332</v>
      </c>
      <c r="G49" s="1">
        <v>33991</v>
      </c>
      <c r="H49" t="s">
        <v>334</v>
      </c>
      <c r="I49" t="s">
        <v>46</v>
      </c>
      <c r="L49" t="s">
        <v>153</v>
      </c>
    </row>
    <row r="50" spans="1:39" x14ac:dyDescent="0.3">
      <c r="A50" t="s">
        <v>335</v>
      </c>
      <c r="B50" t="s">
        <v>336</v>
      </c>
      <c r="C50" t="s">
        <v>337</v>
      </c>
      <c r="D50" t="s">
        <v>85</v>
      </c>
      <c r="E50">
        <v>14</v>
      </c>
      <c r="F50" t="s">
        <v>338</v>
      </c>
      <c r="G50" t="s">
        <v>339</v>
      </c>
      <c r="H50" t="s">
        <v>340</v>
      </c>
      <c r="I50" t="s">
        <v>46</v>
      </c>
      <c r="J50" t="s">
        <v>47</v>
      </c>
      <c r="M50">
        <v>121</v>
      </c>
      <c r="N50">
        <v>117</v>
      </c>
      <c r="O50">
        <v>12</v>
      </c>
      <c r="P50">
        <v>3068</v>
      </c>
      <c r="Q50" t="s">
        <v>341</v>
      </c>
      <c r="R50">
        <v>3</v>
      </c>
      <c r="S50">
        <v>15</v>
      </c>
      <c r="T50">
        <v>236</v>
      </c>
      <c r="U50">
        <v>132</v>
      </c>
      <c r="V50">
        <v>29.21</v>
      </c>
      <c r="W50">
        <v>134.19999999999999</v>
      </c>
      <c r="X50">
        <v>59</v>
      </c>
      <c r="Y50">
        <v>10</v>
      </c>
      <c r="Z50">
        <v>8</v>
      </c>
      <c r="AA50">
        <v>6</v>
      </c>
    </row>
    <row r="51" spans="1:39" x14ac:dyDescent="0.3">
      <c r="A51" t="s">
        <v>342</v>
      </c>
      <c r="B51" t="s">
        <v>336</v>
      </c>
      <c r="C51" t="s">
        <v>343</v>
      </c>
      <c r="D51" t="s">
        <v>63</v>
      </c>
      <c r="E51">
        <v>10</v>
      </c>
      <c r="F51" t="s">
        <v>344</v>
      </c>
      <c r="G51" t="s">
        <v>345</v>
      </c>
      <c r="H51" t="s">
        <v>346</v>
      </c>
      <c r="I51" t="s">
        <v>46</v>
      </c>
      <c r="J51" t="s">
        <v>47</v>
      </c>
      <c r="K51" t="s">
        <v>130</v>
      </c>
      <c r="L51" t="s">
        <v>58</v>
      </c>
      <c r="M51">
        <v>34</v>
      </c>
      <c r="N51">
        <v>7</v>
      </c>
      <c r="O51">
        <v>5</v>
      </c>
      <c r="P51">
        <v>3</v>
      </c>
      <c r="Q51" t="s">
        <v>347</v>
      </c>
      <c r="R51">
        <v>0</v>
      </c>
      <c r="S51">
        <v>0</v>
      </c>
      <c r="T51">
        <v>0</v>
      </c>
      <c r="U51">
        <v>0</v>
      </c>
      <c r="V51">
        <v>1.5</v>
      </c>
      <c r="W51">
        <v>25</v>
      </c>
      <c r="X51">
        <v>7</v>
      </c>
      <c r="Y51">
        <v>0</v>
      </c>
      <c r="Z51">
        <v>5</v>
      </c>
      <c r="AA51">
        <v>1</v>
      </c>
      <c r="AB51">
        <v>34</v>
      </c>
      <c r="AC51">
        <v>124.2</v>
      </c>
      <c r="AD51">
        <v>0</v>
      </c>
      <c r="AE51">
        <v>1152</v>
      </c>
      <c r="AF51">
        <v>30</v>
      </c>
      <c r="AG51" t="s">
        <v>348</v>
      </c>
      <c r="AH51">
        <v>2</v>
      </c>
      <c r="AI51">
        <v>0</v>
      </c>
      <c r="AJ51">
        <v>38.4</v>
      </c>
      <c r="AK51">
        <v>9.26</v>
      </c>
      <c r="AL51">
        <v>24.86</v>
      </c>
      <c r="AM51">
        <v>34</v>
      </c>
    </row>
    <row r="52" spans="1:39" x14ac:dyDescent="0.3">
      <c r="A52" t="s">
        <v>349</v>
      </c>
      <c r="B52" t="s">
        <v>336</v>
      </c>
      <c r="C52" t="s">
        <v>350</v>
      </c>
      <c r="D52" t="s">
        <v>85</v>
      </c>
      <c r="E52">
        <v>10</v>
      </c>
      <c r="F52" t="s">
        <v>351</v>
      </c>
      <c r="G52" t="s">
        <v>352</v>
      </c>
      <c r="H52" t="s">
        <v>353</v>
      </c>
      <c r="I52" t="s">
        <v>56</v>
      </c>
      <c r="J52" t="s">
        <v>47</v>
      </c>
      <c r="M52">
        <v>65</v>
      </c>
      <c r="N52">
        <v>64</v>
      </c>
      <c r="O52">
        <v>8</v>
      </c>
      <c r="P52">
        <v>1968</v>
      </c>
      <c r="Q52" t="s">
        <v>354</v>
      </c>
      <c r="R52">
        <v>1</v>
      </c>
      <c r="S52">
        <v>11</v>
      </c>
      <c r="T52">
        <v>194</v>
      </c>
      <c r="U52">
        <v>90</v>
      </c>
      <c r="V52">
        <v>35.14</v>
      </c>
      <c r="W52">
        <v>150</v>
      </c>
      <c r="X52">
        <v>34</v>
      </c>
      <c r="Y52">
        <v>1</v>
      </c>
      <c r="Z52">
        <v>1</v>
      </c>
      <c r="AA52">
        <v>3</v>
      </c>
    </row>
    <row r="53" spans="1:39" x14ac:dyDescent="0.3">
      <c r="A53" t="s">
        <v>355</v>
      </c>
      <c r="B53" t="s">
        <v>336</v>
      </c>
      <c r="C53" t="s">
        <v>356</v>
      </c>
      <c r="D53" t="s">
        <v>42</v>
      </c>
      <c r="E53">
        <v>8.5</v>
      </c>
      <c r="F53" t="s">
        <v>357</v>
      </c>
      <c r="G53" t="s">
        <v>358</v>
      </c>
      <c r="H53" t="s">
        <v>359</v>
      </c>
      <c r="I53" t="s">
        <v>96</v>
      </c>
      <c r="J53" t="s">
        <v>67</v>
      </c>
      <c r="M53">
        <v>31</v>
      </c>
      <c r="N53">
        <v>29</v>
      </c>
      <c r="O53">
        <v>9</v>
      </c>
      <c r="P53">
        <v>517</v>
      </c>
      <c r="Q53" t="s">
        <v>360</v>
      </c>
      <c r="R53">
        <v>0</v>
      </c>
      <c r="S53">
        <v>2</v>
      </c>
      <c r="T53">
        <v>34</v>
      </c>
      <c r="U53">
        <v>31</v>
      </c>
      <c r="V53">
        <v>25.85</v>
      </c>
      <c r="W53">
        <v>151.16999999999999</v>
      </c>
      <c r="X53">
        <v>14</v>
      </c>
      <c r="Y53">
        <v>0</v>
      </c>
      <c r="Z53">
        <v>3</v>
      </c>
      <c r="AA53">
        <v>2</v>
      </c>
    </row>
    <row r="54" spans="1:39" x14ac:dyDescent="0.3">
      <c r="A54" t="s">
        <v>361</v>
      </c>
      <c r="B54" t="s">
        <v>336</v>
      </c>
      <c r="C54" t="s">
        <v>362</v>
      </c>
      <c r="D54" t="s">
        <v>63</v>
      </c>
      <c r="E54">
        <v>8</v>
      </c>
      <c r="F54" t="s">
        <v>363</v>
      </c>
      <c r="G54" t="s">
        <v>364</v>
      </c>
      <c r="H54" t="s">
        <v>365</v>
      </c>
      <c r="I54" t="s">
        <v>205</v>
      </c>
      <c r="J54" t="s">
        <v>47</v>
      </c>
      <c r="K54" t="s">
        <v>366</v>
      </c>
      <c r="L54" t="s">
        <v>58</v>
      </c>
      <c r="M54">
        <v>62</v>
      </c>
      <c r="N54">
        <v>10</v>
      </c>
      <c r="O54">
        <v>7</v>
      </c>
      <c r="P54">
        <v>13</v>
      </c>
      <c r="Q54" t="s">
        <v>367</v>
      </c>
      <c r="R54">
        <v>0</v>
      </c>
      <c r="S54">
        <v>0</v>
      </c>
      <c r="T54">
        <v>0</v>
      </c>
      <c r="U54">
        <v>1</v>
      </c>
      <c r="V54">
        <v>4.33</v>
      </c>
      <c r="W54">
        <v>68.42</v>
      </c>
      <c r="X54">
        <v>23</v>
      </c>
      <c r="Y54">
        <v>0</v>
      </c>
      <c r="Z54">
        <v>6</v>
      </c>
      <c r="AA54">
        <v>0</v>
      </c>
      <c r="AB54">
        <v>62</v>
      </c>
      <c r="AC54">
        <v>236.1</v>
      </c>
      <c r="AD54">
        <v>5</v>
      </c>
      <c r="AE54">
        <v>1983</v>
      </c>
      <c r="AF54">
        <v>76</v>
      </c>
      <c r="AG54" t="s">
        <v>368</v>
      </c>
      <c r="AH54">
        <v>5</v>
      </c>
      <c r="AI54">
        <v>0</v>
      </c>
      <c r="AJ54">
        <v>26.09</v>
      </c>
      <c r="AK54">
        <v>8.39</v>
      </c>
      <c r="AL54">
        <v>18.64</v>
      </c>
      <c r="AM54">
        <v>62</v>
      </c>
    </row>
    <row r="55" spans="1:39" x14ac:dyDescent="0.3">
      <c r="A55" t="s">
        <v>369</v>
      </c>
      <c r="B55" t="s">
        <v>336</v>
      </c>
      <c r="C55" t="s">
        <v>370</v>
      </c>
      <c r="D55" t="s">
        <v>42</v>
      </c>
      <c r="E55">
        <v>7.75</v>
      </c>
      <c r="F55" t="s">
        <v>371</v>
      </c>
      <c r="G55" t="s">
        <v>372</v>
      </c>
      <c r="H55" t="s">
        <v>373</v>
      </c>
      <c r="I55" t="s">
        <v>46</v>
      </c>
      <c r="J55" t="s">
        <v>67</v>
      </c>
      <c r="K55" t="s">
        <v>48</v>
      </c>
      <c r="M55">
        <v>29</v>
      </c>
      <c r="N55">
        <v>29</v>
      </c>
      <c r="O55">
        <v>1</v>
      </c>
      <c r="P55">
        <v>884</v>
      </c>
      <c r="Q55" t="s">
        <v>374</v>
      </c>
      <c r="R55">
        <v>1</v>
      </c>
      <c r="S55">
        <v>6</v>
      </c>
      <c r="T55">
        <v>95</v>
      </c>
      <c r="U55">
        <v>22</v>
      </c>
      <c r="V55">
        <v>31.57</v>
      </c>
      <c r="W55">
        <v>125.03</v>
      </c>
      <c r="X55">
        <v>15</v>
      </c>
      <c r="Y55">
        <v>0</v>
      </c>
      <c r="Z55">
        <v>2</v>
      </c>
      <c r="AA55">
        <v>1</v>
      </c>
    </row>
    <row r="56" spans="1:39" x14ac:dyDescent="0.3">
      <c r="A56" t="s">
        <v>375</v>
      </c>
      <c r="B56" t="s">
        <v>336</v>
      </c>
      <c r="C56" t="s">
        <v>376</v>
      </c>
      <c r="D56" t="s">
        <v>63</v>
      </c>
      <c r="E56">
        <v>6.5</v>
      </c>
      <c r="F56" t="s">
        <v>377</v>
      </c>
      <c r="G56" t="s">
        <v>378</v>
      </c>
      <c r="H56" t="s">
        <v>379</v>
      </c>
      <c r="I56" t="s">
        <v>46</v>
      </c>
      <c r="J56" t="s">
        <v>47</v>
      </c>
      <c r="K56" t="s">
        <v>102</v>
      </c>
      <c r="L56" t="s">
        <v>58</v>
      </c>
      <c r="M56">
        <v>114</v>
      </c>
      <c r="N56">
        <v>18</v>
      </c>
      <c r="O56">
        <v>12</v>
      </c>
      <c r="P56">
        <v>32</v>
      </c>
      <c r="Q56" t="s">
        <v>380</v>
      </c>
      <c r="R56">
        <v>0</v>
      </c>
      <c r="S56">
        <v>0</v>
      </c>
      <c r="T56">
        <v>0</v>
      </c>
      <c r="U56">
        <v>0</v>
      </c>
      <c r="V56">
        <v>5.33</v>
      </c>
      <c r="W56">
        <v>41.02</v>
      </c>
      <c r="X56">
        <v>24</v>
      </c>
      <c r="Y56">
        <v>0</v>
      </c>
      <c r="Z56">
        <v>5</v>
      </c>
      <c r="AA56">
        <v>2</v>
      </c>
      <c r="AB56">
        <v>113</v>
      </c>
      <c r="AC56">
        <v>408</v>
      </c>
      <c r="AD56">
        <v>4</v>
      </c>
      <c r="AE56">
        <v>3097</v>
      </c>
      <c r="AF56">
        <v>139</v>
      </c>
      <c r="AG56" t="s">
        <v>381</v>
      </c>
      <c r="AH56">
        <v>9</v>
      </c>
      <c r="AI56">
        <v>0</v>
      </c>
      <c r="AJ56">
        <v>22.28</v>
      </c>
      <c r="AK56">
        <v>7.59</v>
      </c>
      <c r="AL56">
        <v>17.61</v>
      </c>
      <c r="AM56">
        <v>113</v>
      </c>
    </row>
    <row r="57" spans="1:39" x14ac:dyDescent="0.3">
      <c r="A57" t="s">
        <v>382</v>
      </c>
      <c r="B57" t="s">
        <v>336</v>
      </c>
      <c r="C57" t="s">
        <v>383</v>
      </c>
      <c r="D57" t="s">
        <v>52</v>
      </c>
      <c r="E57">
        <v>5</v>
      </c>
      <c r="F57" t="s">
        <v>382</v>
      </c>
      <c r="G57" t="s">
        <v>384</v>
      </c>
      <c r="H57" t="s">
        <v>385</v>
      </c>
      <c r="I57" t="s">
        <v>46</v>
      </c>
      <c r="J57" t="s">
        <v>47</v>
      </c>
      <c r="K57" t="s">
        <v>48</v>
      </c>
      <c r="L57" t="s">
        <v>58</v>
      </c>
      <c r="M57">
        <v>167</v>
      </c>
      <c r="N57">
        <v>63</v>
      </c>
      <c r="O57">
        <v>22</v>
      </c>
      <c r="P57">
        <v>456</v>
      </c>
      <c r="Q57" t="s">
        <v>386</v>
      </c>
      <c r="R57">
        <v>0</v>
      </c>
      <c r="S57">
        <v>0</v>
      </c>
      <c r="T57">
        <v>37</v>
      </c>
      <c r="U57">
        <v>12</v>
      </c>
      <c r="V57">
        <v>11.12</v>
      </c>
      <c r="W57">
        <v>109.88</v>
      </c>
      <c r="X57">
        <v>37</v>
      </c>
      <c r="Y57">
        <v>0</v>
      </c>
      <c r="Z57">
        <v>15</v>
      </c>
      <c r="AA57">
        <v>5</v>
      </c>
      <c r="AB57">
        <v>164</v>
      </c>
      <c r="AC57">
        <v>583</v>
      </c>
      <c r="AD57">
        <v>4</v>
      </c>
      <c r="AE57">
        <v>4031</v>
      </c>
      <c r="AF57">
        <v>145</v>
      </c>
      <c r="AG57" t="s">
        <v>387</v>
      </c>
      <c r="AH57">
        <v>6</v>
      </c>
      <c r="AI57">
        <v>0</v>
      </c>
      <c r="AJ57">
        <v>27.8</v>
      </c>
      <c r="AK57">
        <v>6.91</v>
      </c>
      <c r="AL57">
        <v>24.12</v>
      </c>
      <c r="AM57">
        <v>164</v>
      </c>
    </row>
    <row r="58" spans="1:39" x14ac:dyDescent="0.3">
      <c r="A58" t="s">
        <v>388</v>
      </c>
      <c r="B58" t="s">
        <v>336</v>
      </c>
      <c r="C58" t="s">
        <v>389</v>
      </c>
      <c r="D58" t="s">
        <v>42</v>
      </c>
      <c r="E58">
        <v>4</v>
      </c>
      <c r="F58" t="s">
        <v>390</v>
      </c>
      <c r="G58" t="s">
        <v>391</v>
      </c>
      <c r="H58" t="s">
        <v>392</v>
      </c>
      <c r="I58" t="s">
        <v>46</v>
      </c>
      <c r="J58" t="s">
        <v>67</v>
      </c>
      <c r="K58" t="s">
        <v>57</v>
      </c>
      <c r="M58">
        <v>13</v>
      </c>
      <c r="N58">
        <v>13</v>
      </c>
      <c r="O58">
        <v>0</v>
      </c>
      <c r="P58">
        <v>289</v>
      </c>
      <c r="Q58" t="s">
        <v>393</v>
      </c>
      <c r="R58">
        <v>0</v>
      </c>
      <c r="S58">
        <v>1</v>
      </c>
      <c r="T58">
        <v>34</v>
      </c>
      <c r="U58">
        <v>12</v>
      </c>
      <c r="V58">
        <v>22.23</v>
      </c>
      <c r="W58">
        <v>136.32</v>
      </c>
      <c r="X58">
        <v>4</v>
      </c>
      <c r="Y58">
        <v>0</v>
      </c>
      <c r="Z58">
        <v>2</v>
      </c>
      <c r="AA58">
        <v>0</v>
      </c>
    </row>
    <row r="59" spans="1:39" x14ac:dyDescent="0.3">
      <c r="A59" t="s">
        <v>394</v>
      </c>
      <c r="B59" t="s">
        <v>336</v>
      </c>
      <c r="C59" t="s">
        <v>395</v>
      </c>
      <c r="D59" t="s">
        <v>52</v>
      </c>
      <c r="E59">
        <v>3.8</v>
      </c>
      <c r="F59" t="s">
        <v>394</v>
      </c>
      <c r="G59" t="s">
        <v>396</v>
      </c>
      <c r="H59" t="s">
        <v>397</v>
      </c>
      <c r="I59" t="s">
        <v>46</v>
      </c>
      <c r="J59" t="s">
        <v>47</v>
      </c>
      <c r="K59" t="s">
        <v>57</v>
      </c>
      <c r="L59" t="s">
        <v>58</v>
      </c>
      <c r="M59">
        <v>30</v>
      </c>
      <c r="N59">
        <v>23</v>
      </c>
      <c r="O59">
        <v>3</v>
      </c>
      <c r="P59">
        <v>339</v>
      </c>
      <c r="Q59" t="s">
        <v>398</v>
      </c>
      <c r="R59">
        <v>0</v>
      </c>
      <c r="S59">
        <v>1</v>
      </c>
      <c r="T59">
        <v>29</v>
      </c>
      <c r="U59">
        <v>12</v>
      </c>
      <c r="V59">
        <v>16.95</v>
      </c>
      <c r="W59">
        <v>118.53</v>
      </c>
      <c r="X59">
        <v>12</v>
      </c>
      <c r="Y59">
        <v>0</v>
      </c>
      <c r="Z59">
        <v>3</v>
      </c>
      <c r="AA59">
        <v>2</v>
      </c>
      <c r="AB59">
        <v>15</v>
      </c>
      <c r="AC59">
        <v>22.1</v>
      </c>
      <c r="AD59">
        <v>0</v>
      </c>
      <c r="AE59">
        <v>221</v>
      </c>
      <c r="AF59">
        <v>3</v>
      </c>
      <c r="AG59" t="s">
        <v>399</v>
      </c>
      <c r="AH59">
        <v>0</v>
      </c>
      <c r="AI59">
        <v>0</v>
      </c>
      <c r="AJ59">
        <v>73.66</v>
      </c>
      <c r="AK59">
        <v>9.9600000000000009</v>
      </c>
      <c r="AL59">
        <v>44.33</v>
      </c>
      <c r="AM59">
        <v>15</v>
      </c>
    </row>
    <row r="60" spans="1:39" x14ac:dyDescent="0.3">
      <c r="A60" t="s">
        <v>400</v>
      </c>
      <c r="B60" t="s">
        <v>336</v>
      </c>
      <c r="C60" t="s">
        <v>401</v>
      </c>
      <c r="D60" t="s">
        <v>63</v>
      </c>
      <c r="E60">
        <v>2.6</v>
      </c>
      <c r="F60" t="s">
        <v>402</v>
      </c>
      <c r="G60" t="s">
        <v>403</v>
      </c>
      <c r="H60" t="s">
        <v>404</v>
      </c>
      <c r="I60" t="s">
        <v>46</v>
      </c>
      <c r="J60" t="s">
        <v>47</v>
      </c>
      <c r="K60" t="s">
        <v>68</v>
      </c>
      <c r="L60" t="s">
        <v>58</v>
      </c>
      <c r="M60">
        <v>28</v>
      </c>
      <c r="N60">
        <v>6</v>
      </c>
      <c r="O60">
        <v>3</v>
      </c>
      <c r="P60">
        <v>31</v>
      </c>
      <c r="Q60" t="s">
        <v>405</v>
      </c>
      <c r="R60">
        <v>0</v>
      </c>
      <c r="S60">
        <v>0</v>
      </c>
      <c r="T60">
        <v>3</v>
      </c>
      <c r="U60">
        <v>0</v>
      </c>
      <c r="V60">
        <v>10.33</v>
      </c>
      <c r="W60">
        <v>88.57</v>
      </c>
      <c r="X60">
        <v>6</v>
      </c>
      <c r="Y60">
        <v>0</v>
      </c>
      <c r="Z60">
        <v>1</v>
      </c>
      <c r="AA60">
        <v>0</v>
      </c>
      <c r="AB60">
        <v>28</v>
      </c>
      <c r="AC60">
        <v>97.4</v>
      </c>
      <c r="AD60">
        <v>1</v>
      </c>
      <c r="AE60">
        <v>828</v>
      </c>
      <c r="AF60">
        <v>17</v>
      </c>
      <c r="AG60" t="s">
        <v>406</v>
      </c>
      <c r="AH60">
        <v>0</v>
      </c>
      <c r="AI60">
        <v>0</v>
      </c>
      <c r="AJ60">
        <v>48.7</v>
      </c>
      <c r="AK60">
        <v>8.4700000000000006</v>
      </c>
      <c r="AL60">
        <v>34.47</v>
      </c>
      <c r="AM60">
        <v>28</v>
      </c>
    </row>
    <row r="61" spans="1:39" x14ac:dyDescent="0.3">
      <c r="A61" t="s">
        <v>407</v>
      </c>
      <c r="B61" t="s">
        <v>336</v>
      </c>
      <c r="C61" t="s">
        <v>408</v>
      </c>
      <c r="D61" t="s">
        <v>63</v>
      </c>
      <c r="E61">
        <v>2</v>
      </c>
      <c r="F61" t="s">
        <v>409</v>
      </c>
      <c r="G61" t="s">
        <v>410</v>
      </c>
      <c r="H61" t="s">
        <v>411</v>
      </c>
      <c r="I61" t="s">
        <v>135</v>
      </c>
      <c r="J61" t="s">
        <v>47</v>
      </c>
      <c r="K61" t="s">
        <v>68</v>
      </c>
      <c r="L61" t="s">
        <v>58</v>
      </c>
      <c r="M61">
        <v>38</v>
      </c>
      <c r="N61">
        <v>16</v>
      </c>
      <c r="O61">
        <v>5</v>
      </c>
      <c r="P61">
        <v>81</v>
      </c>
      <c r="Q61" t="s">
        <v>412</v>
      </c>
      <c r="R61">
        <v>0</v>
      </c>
      <c r="S61">
        <v>0</v>
      </c>
      <c r="T61">
        <v>7</v>
      </c>
      <c r="U61">
        <v>4</v>
      </c>
      <c r="V61">
        <v>7.36</v>
      </c>
      <c r="W61">
        <v>115.71</v>
      </c>
      <c r="X61">
        <v>12</v>
      </c>
      <c r="Y61">
        <v>0</v>
      </c>
      <c r="Z61">
        <v>1</v>
      </c>
      <c r="AA61">
        <v>1</v>
      </c>
      <c r="AB61">
        <v>37</v>
      </c>
      <c r="AC61">
        <v>139.5</v>
      </c>
      <c r="AD61">
        <v>1</v>
      </c>
      <c r="AE61">
        <v>1052</v>
      </c>
      <c r="AF61">
        <v>48</v>
      </c>
      <c r="AG61" t="s">
        <v>413</v>
      </c>
      <c r="AH61">
        <v>5</v>
      </c>
      <c r="AI61">
        <v>0</v>
      </c>
      <c r="AJ61">
        <v>21.91</v>
      </c>
      <c r="AK61">
        <v>7.52</v>
      </c>
      <c r="AL61">
        <v>17.47</v>
      </c>
      <c r="AM61">
        <v>37</v>
      </c>
    </row>
    <row r="62" spans="1:39" x14ac:dyDescent="0.3">
      <c r="A62" t="s">
        <v>414</v>
      </c>
      <c r="B62" t="s">
        <v>336</v>
      </c>
      <c r="C62" t="s">
        <v>415</v>
      </c>
      <c r="D62" t="s">
        <v>52</v>
      </c>
      <c r="E62">
        <v>1.5</v>
      </c>
      <c r="F62" t="s">
        <v>416</v>
      </c>
      <c r="G62" t="s">
        <v>417</v>
      </c>
      <c r="H62" t="s">
        <v>418</v>
      </c>
      <c r="I62" t="s">
        <v>205</v>
      </c>
      <c r="J62" t="s">
        <v>67</v>
      </c>
      <c r="K62" t="s">
        <v>130</v>
      </c>
      <c r="L62" t="s">
        <v>58</v>
      </c>
      <c r="M62">
        <v>12</v>
      </c>
      <c r="N62">
        <v>8</v>
      </c>
      <c r="O62">
        <v>1</v>
      </c>
      <c r="P62">
        <v>61</v>
      </c>
      <c r="Q62" t="s">
        <v>419</v>
      </c>
      <c r="R62">
        <v>0</v>
      </c>
      <c r="S62">
        <v>0</v>
      </c>
      <c r="T62">
        <v>3</v>
      </c>
      <c r="U62">
        <v>2</v>
      </c>
      <c r="V62">
        <v>8.7100000000000009</v>
      </c>
      <c r="W62">
        <v>92.42</v>
      </c>
      <c r="X62">
        <v>1</v>
      </c>
      <c r="Y62">
        <v>0</v>
      </c>
      <c r="Z62">
        <v>2</v>
      </c>
      <c r="AA62">
        <v>0</v>
      </c>
      <c r="AB62">
        <v>12</v>
      </c>
      <c r="AC62">
        <v>33</v>
      </c>
      <c r="AD62">
        <v>0</v>
      </c>
      <c r="AE62">
        <v>305</v>
      </c>
      <c r="AF62">
        <v>8</v>
      </c>
      <c r="AG62" t="s">
        <v>420</v>
      </c>
      <c r="AH62">
        <v>1</v>
      </c>
      <c r="AI62">
        <v>0</v>
      </c>
      <c r="AJ62">
        <v>38.119999999999997</v>
      </c>
      <c r="AK62">
        <v>9.24</v>
      </c>
      <c r="AL62">
        <v>24.75</v>
      </c>
      <c r="AM62">
        <v>12</v>
      </c>
    </row>
    <row r="63" spans="1:39" x14ac:dyDescent="0.3">
      <c r="A63" t="s">
        <v>421</v>
      </c>
      <c r="B63" t="s">
        <v>336</v>
      </c>
      <c r="C63" t="s">
        <v>422</v>
      </c>
      <c r="D63" t="s">
        <v>42</v>
      </c>
      <c r="E63">
        <v>1.4</v>
      </c>
      <c r="F63" t="s">
        <v>423</v>
      </c>
      <c r="G63" t="s">
        <v>424</v>
      </c>
      <c r="H63" t="s">
        <v>425</v>
      </c>
      <c r="I63" t="s">
        <v>46</v>
      </c>
      <c r="J63" t="s">
        <v>47</v>
      </c>
      <c r="K63" t="s">
        <v>48</v>
      </c>
      <c r="M63">
        <v>73</v>
      </c>
      <c r="N63">
        <v>66</v>
      </c>
      <c r="O63">
        <v>5</v>
      </c>
      <c r="P63">
        <v>1480</v>
      </c>
      <c r="Q63" t="s">
        <v>426</v>
      </c>
      <c r="R63">
        <v>0</v>
      </c>
      <c r="S63">
        <v>10</v>
      </c>
      <c r="T63">
        <v>160</v>
      </c>
      <c r="U63">
        <v>39</v>
      </c>
      <c r="V63">
        <v>24.26</v>
      </c>
      <c r="W63">
        <v>128.36000000000001</v>
      </c>
      <c r="X63">
        <v>22</v>
      </c>
      <c r="Y63">
        <v>0</v>
      </c>
      <c r="Z63">
        <v>3</v>
      </c>
      <c r="AA63">
        <v>1</v>
      </c>
    </row>
    <row r="64" spans="1:39" x14ac:dyDescent="0.3">
      <c r="A64" t="s">
        <v>427</v>
      </c>
      <c r="B64" t="s">
        <v>336</v>
      </c>
      <c r="C64" t="s">
        <v>428</v>
      </c>
      <c r="D64" t="s">
        <v>42</v>
      </c>
      <c r="E64">
        <v>1</v>
      </c>
    </row>
    <row r="65" spans="1:39" x14ac:dyDescent="0.3">
      <c r="A65" t="s">
        <v>429</v>
      </c>
      <c r="B65" t="s">
        <v>336</v>
      </c>
      <c r="C65" t="s">
        <v>430</v>
      </c>
      <c r="D65" t="s">
        <v>63</v>
      </c>
      <c r="E65">
        <v>0.75</v>
      </c>
      <c r="F65" t="s">
        <v>431</v>
      </c>
      <c r="G65" s="1">
        <v>35434</v>
      </c>
      <c r="H65" t="s">
        <v>432</v>
      </c>
      <c r="I65" t="s">
        <v>96</v>
      </c>
      <c r="J65" t="s">
        <v>67</v>
      </c>
      <c r="K65" t="s">
        <v>109</v>
      </c>
    </row>
    <row r="66" spans="1:39" x14ac:dyDescent="0.3">
      <c r="A66" t="s">
        <v>433</v>
      </c>
      <c r="B66" t="s">
        <v>336</v>
      </c>
      <c r="C66" t="s">
        <v>434</v>
      </c>
      <c r="D66" t="s">
        <v>52</v>
      </c>
      <c r="E66">
        <v>0.75</v>
      </c>
      <c r="F66" t="s">
        <v>435</v>
      </c>
      <c r="G66" t="s">
        <v>436</v>
      </c>
      <c r="H66" t="s">
        <v>437</v>
      </c>
      <c r="I66" t="s">
        <v>205</v>
      </c>
      <c r="J66" t="s">
        <v>47</v>
      </c>
      <c r="K66" t="s">
        <v>89</v>
      </c>
    </row>
    <row r="67" spans="1:39" x14ac:dyDescent="0.3">
      <c r="A67" t="s">
        <v>438</v>
      </c>
      <c r="B67" t="s">
        <v>336</v>
      </c>
      <c r="C67" t="s">
        <v>439</v>
      </c>
      <c r="D67" t="s">
        <v>63</v>
      </c>
      <c r="E67">
        <v>0.3</v>
      </c>
      <c r="F67" t="s">
        <v>440</v>
      </c>
      <c r="G67" t="s">
        <v>441</v>
      </c>
      <c r="H67" t="s">
        <v>442</v>
      </c>
      <c r="I67" t="s">
        <v>46</v>
      </c>
      <c r="J67" t="s">
        <v>47</v>
      </c>
      <c r="K67" t="s">
        <v>57</v>
      </c>
      <c r="L67" t="s">
        <v>58</v>
      </c>
      <c r="M67">
        <v>11</v>
      </c>
      <c r="N67">
        <v>5</v>
      </c>
      <c r="O67">
        <v>2</v>
      </c>
      <c r="P67">
        <v>24</v>
      </c>
      <c r="Q67" t="s">
        <v>443</v>
      </c>
      <c r="R67">
        <v>0</v>
      </c>
      <c r="S67">
        <v>0</v>
      </c>
      <c r="T67">
        <v>0</v>
      </c>
      <c r="U67">
        <v>2</v>
      </c>
      <c r="V67">
        <v>8</v>
      </c>
      <c r="W67">
        <v>114.28</v>
      </c>
      <c r="X67">
        <v>3</v>
      </c>
      <c r="Y67">
        <v>0</v>
      </c>
      <c r="Z67">
        <v>0</v>
      </c>
      <c r="AA67">
        <v>0</v>
      </c>
      <c r="AB67">
        <v>11</v>
      </c>
      <c r="AC67">
        <v>36</v>
      </c>
      <c r="AD67">
        <v>0</v>
      </c>
      <c r="AE67">
        <v>348</v>
      </c>
      <c r="AF67">
        <v>8</v>
      </c>
      <c r="AG67" t="s">
        <v>444</v>
      </c>
      <c r="AH67">
        <v>0</v>
      </c>
      <c r="AI67">
        <v>0</v>
      </c>
      <c r="AJ67">
        <v>43.5</v>
      </c>
      <c r="AK67">
        <v>9.66</v>
      </c>
      <c r="AL67">
        <v>27</v>
      </c>
      <c r="AM67">
        <v>11</v>
      </c>
    </row>
    <row r="68" spans="1:39" x14ac:dyDescent="0.3">
      <c r="A68" t="s">
        <v>445</v>
      </c>
      <c r="B68" t="s">
        <v>336</v>
      </c>
      <c r="C68" t="s">
        <v>446</v>
      </c>
      <c r="D68" t="s">
        <v>63</v>
      </c>
      <c r="E68">
        <v>0.2</v>
      </c>
      <c r="F68" t="s">
        <v>447</v>
      </c>
      <c r="G68" t="s">
        <v>448</v>
      </c>
      <c r="H68" t="s">
        <v>449</v>
      </c>
      <c r="I68" t="s">
        <v>46</v>
      </c>
      <c r="J68" t="s">
        <v>47</v>
      </c>
      <c r="K68" t="s">
        <v>102</v>
      </c>
      <c r="L68" t="s">
        <v>58</v>
      </c>
      <c r="M68">
        <v>1</v>
      </c>
      <c r="N68">
        <v>0</v>
      </c>
      <c r="O68">
        <v>0</v>
      </c>
      <c r="R68">
        <v>0</v>
      </c>
      <c r="S68">
        <v>0</v>
      </c>
      <c r="T68">
        <v>0</v>
      </c>
      <c r="U68">
        <v>0</v>
      </c>
      <c r="W68">
        <v>0</v>
      </c>
      <c r="Z68">
        <v>0</v>
      </c>
      <c r="AA68">
        <v>0</v>
      </c>
      <c r="AB68">
        <v>1</v>
      </c>
      <c r="AC68">
        <v>3.3</v>
      </c>
      <c r="AD68">
        <v>0</v>
      </c>
      <c r="AE68">
        <v>33</v>
      </c>
      <c r="AF68">
        <v>0</v>
      </c>
      <c r="AG68" t="s">
        <v>450</v>
      </c>
      <c r="AH68">
        <v>0</v>
      </c>
      <c r="AI68">
        <v>0</v>
      </c>
      <c r="AK68">
        <v>9.42</v>
      </c>
      <c r="AM68">
        <v>1</v>
      </c>
    </row>
    <row r="69" spans="1:39" x14ac:dyDescent="0.3">
      <c r="A69" t="s">
        <v>451</v>
      </c>
      <c r="B69" t="s">
        <v>336</v>
      </c>
      <c r="C69" t="s">
        <v>452</v>
      </c>
      <c r="D69" t="s">
        <v>63</v>
      </c>
      <c r="E69">
        <v>0.2</v>
      </c>
      <c r="F69" t="s">
        <v>451</v>
      </c>
      <c r="G69" s="1">
        <v>35353</v>
      </c>
      <c r="H69" t="s">
        <v>453</v>
      </c>
      <c r="I69" t="s">
        <v>46</v>
      </c>
      <c r="J69" t="s">
        <v>67</v>
      </c>
      <c r="K69" t="s">
        <v>109</v>
      </c>
      <c r="L69" t="s">
        <v>58</v>
      </c>
      <c r="M69">
        <v>1</v>
      </c>
      <c r="N69">
        <v>1</v>
      </c>
      <c r="O69">
        <v>1</v>
      </c>
      <c r="P69">
        <v>0</v>
      </c>
      <c r="Q69" t="s">
        <v>454</v>
      </c>
      <c r="R69">
        <v>0</v>
      </c>
      <c r="S69">
        <v>0</v>
      </c>
      <c r="T69">
        <v>0</v>
      </c>
      <c r="U69">
        <v>0</v>
      </c>
      <c r="W69">
        <v>0</v>
      </c>
      <c r="Z69">
        <v>1</v>
      </c>
      <c r="AA69">
        <v>0</v>
      </c>
      <c r="AB69">
        <v>1</v>
      </c>
      <c r="AC69">
        <v>2</v>
      </c>
      <c r="AD69">
        <v>0</v>
      </c>
      <c r="AE69">
        <v>16</v>
      </c>
      <c r="AF69">
        <v>0</v>
      </c>
      <c r="AG69" t="s">
        <v>455</v>
      </c>
      <c r="AH69">
        <v>0</v>
      </c>
      <c r="AI69">
        <v>0</v>
      </c>
      <c r="AK69">
        <v>8</v>
      </c>
      <c r="AM69">
        <v>1</v>
      </c>
    </row>
    <row r="70" spans="1:39" x14ac:dyDescent="0.3">
      <c r="A70" t="s">
        <v>456</v>
      </c>
      <c r="B70" t="s">
        <v>336</v>
      </c>
      <c r="C70" t="s">
        <v>457</v>
      </c>
      <c r="D70" t="s">
        <v>85</v>
      </c>
      <c r="E70">
        <v>0.2</v>
      </c>
      <c r="F70" t="s">
        <v>458</v>
      </c>
      <c r="G70" t="s">
        <v>459</v>
      </c>
      <c r="H70" t="s">
        <v>460</v>
      </c>
      <c r="I70" t="s">
        <v>46</v>
      </c>
      <c r="J70" t="s">
        <v>47</v>
      </c>
    </row>
    <row r="71" spans="1:39" x14ac:dyDescent="0.3">
      <c r="A71" t="s">
        <v>461</v>
      </c>
      <c r="B71" t="s">
        <v>336</v>
      </c>
      <c r="C71" t="s">
        <v>462</v>
      </c>
      <c r="D71" t="s">
        <v>63</v>
      </c>
      <c r="E71">
        <v>0.2</v>
      </c>
      <c r="F71" t="s">
        <v>463</v>
      </c>
      <c r="G71" t="s">
        <v>464</v>
      </c>
      <c r="H71" t="s">
        <v>465</v>
      </c>
      <c r="I71" t="s">
        <v>46</v>
      </c>
      <c r="J71" t="s">
        <v>47</v>
      </c>
      <c r="K71" t="s">
        <v>124</v>
      </c>
    </row>
    <row r="72" spans="1:39" x14ac:dyDescent="0.3">
      <c r="A72" t="s">
        <v>466</v>
      </c>
      <c r="B72" t="s">
        <v>336</v>
      </c>
      <c r="C72" t="s">
        <v>467</v>
      </c>
      <c r="D72" t="s">
        <v>52</v>
      </c>
      <c r="E72">
        <v>0.2</v>
      </c>
      <c r="F72" t="s">
        <v>468</v>
      </c>
      <c r="G72" t="s">
        <v>469</v>
      </c>
      <c r="H72" t="s">
        <v>470</v>
      </c>
      <c r="I72" t="s">
        <v>46</v>
      </c>
      <c r="J72" t="s">
        <v>67</v>
      </c>
      <c r="K72" t="s">
        <v>116</v>
      </c>
    </row>
    <row r="73" spans="1:39" x14ac:dyDescent="0.3">
      <c r="A73" t="s">
        <v>471</v>
      </c>
      <c r="B73" t="s">
        <v>336</v>
      </c>
      <c r="C73" t="s">
        <v>472</v>
      </c>
      <c r="D73" t="s">
        <v>52</v>
      </c>
      <c r="E73">
        <v>0.2</v>
      </c>
      <c r="F73" t="s">
        <v>473</v>
      </c>
      <c r="G73" t="s">
        <v>474</v>
      </c>
      <c r="H73" t="s">
        <v>475</v>
      </c>
      <c r="I73" t="s">
        <v>46</v>
      </c>
      <c r="J73" t="s">
        <v>47</v>
      </c>
      <c r="K73" t="s">
        <v>89</v>
      </c>
    </row>
    <row r="74" spans="1:39" x14ac:dyDescent="0.3">
      <c r="A74" t="s">
        <v>476</v>
      </c>
      <c r="B74" t="s">
        <v>477</v>
      </c>
      <c r="C74" t="s">
        <v>478</v>
      </c>
      <c r="D74" t="s">
        <v>42</v>
      </c>
      <c r="E74">
        <v>15</v>
      </c>
      <c r="F74" t="s">
        <v>476</v>
      </c>
      <c r="G74" t="s">
        <v>479</v>
      </c>
      <c r="H74" t="s">
        <v>480</v>
      </c>
      <c r="I74" t="s">
        <v>46</v>
      </c>
      <c r="J74" t="s">
        <v>47</v>
      </c>
      <c r="K74" t="s">
        <v>89</v>
      </c>
      <c r="L74" t="s">
        <v>58</v>
      </c>
      <c r="M74">
        <v>207</v>
      </c>
      <c r="N74">
        <v>199</v>
      </c>
      <c r="O74">
        <v>31</v>
      </c>
      <c r="P74">
        <v>6283</v>
      </c>
      <c r="Q74" t="s">
        <v>481</v>
      </c>
      <c r="R74">
        <v>5</v>
      </c>
      <c r="S74">
        <v>42</v>
      </c>
      <c r="T74">
        <v>546</v>
      </c>
      <c r="U74">
        <v>210</v>
      </c>
      <c r="V74">
        <v>37.39</v>
      </c>
      <c r="W74">
        <v>129.94</v>
      </c>
      <c r="X74">
        <v>84</v>
      </c>
      <c r="Y74">
        <v>0</v>
      </c>
      <c r="Z74">
        <v>6</v>
      </c>
      <c r="AA74">
        <v>7</v>
      </c>
      <c r="AB74">
        <v>26</v>
      </c>
      <c r="AC74">
        <v>41.5</v>
      </c>
      <c r="AD74">
        <v>0</v>
      </c>
      <c r="AE74">
        <v>368</v>
      </c>
      <c r="AF74">
        <v>4</v>
      </c>
      <c r="AG74" t="s">
        <v>482</v>
      </c>
      <c r="AH74">
        <v>0</v>
      </c>
      <c r="AI74">
        <v>0</v>
      </c>
      <c r="AJ74">
        <v>92</v>
      </c>
      <c r="AK74">
        <v>8.7899999999999991</v>
      </c>
      <c r="AL74">
        <v>62.75</v>
      </c>
      <c r="AM74">
        <v>26</v>
      </c>
    </row>
    <row r="75" spans="1:39" x14ac:dyDescent="0.3">
      <c r="A75" t="s">
        <v>483</v>
      </c>
      <c r="B75" t="s">
        <v>477</v>
      </c>
      <c r="C75" t="s">
        <v>484</v>
      </c>
      <c r="D75" t="s">
        <v>52</v>
      </c>
      <c r="E75">
        <v>11</v>
      </c>
      <c r="F75" t="s">
        <v>485</v>
      </c>
      <c r="G75" t="s">
        <v>486</v>
      </c>
      <c r="H75" t="s">
        <v>487</v>
      </c>
      <c r="I75" t="s">
        <v>135</v>
      </c>
      <c r="J75" t="s">
        <v>47</v>
      </c>
      <c r="K75" t="s">
        <v>48</v>
      </c>
      <c r="L75" t="s">
        <v>58</v>
      </c>
      <c r="M75">
        <v>97</v>
      </c>
      <c r="N75">
        <v>93</v>
      </c>
      <c r="O75">
        <v>13</v>
      </c>
      <c r="P75">
        <v>2018</v>
      </c>
      <c r="Q75" t="s">
        <v>488</v>
      </c>
      <c r="R75">
        <v>0</v>
      </c>
      <c r="S75">
        <v>12</v>
      </c>
      <c r="T75">
        <v>166</v>
      </c>
      <c r="U75">
        <v>112</v>
      </c>
      <c r="V75">
        <v>25.22</v>
      </c>
      <c r="W75">
        <v>151.84</v>
      </c>
      <c r="X75">
        <v>35</v>
      </c>
      <c r="Y75">
        <v>0</v>
      </c>
      <c r="Z75">
        <v>12</v>
      </c>
      <c r="AA75">
        <v>4</v>
      </c>
      <c r="AB75">
        <v>56</v>
      </c>
      <c r="AC75">
        <v>107</v>
      </c>
      <c r="AD75">
        <v>0</v>
      </c>
      <c r="AE75">
        <v>915</v>
      </c>
      <c r="AF75">
        <v>22</v>
      </c>
      <c r="AG75" t="s">
        <v>489</v>
      </c>
      <c r="AH75">
        <v>0</v>
      </c>
      <c r="AI75">
        <v>0</v>
      </c>
      <c r="AJ75">
        <v>41.59</v>
      </c>
      <c r="AK75">
        <v>8.5500000000000007</v>
      </c>
      <c r="AL75">
        <v>29.18</v>
      </c>
      <c r="AM75">
        <v>56</v>
      </c>
    </row>
    <row r="76" spans="1:39" x14ac:dyDescent="0.3">
      <c r="A76" t="s">
        <v>490</v>
      </c>
      <c r="B76" t="s">
        <v>477</v>
      </c>
      <c r="C76" t="s">
        <v>491</v>
      </c>
      <c r="D76" t="s">
        <v>52</v>
      </c>
      <c r="E76">
        <v>10.75</v>
      </c>
      <c r="F76" t="s">
        <v>492</v>
      </c>
      <c r="G76" t="s">
        <v>493</v>
      </c>
      <c r="H76" t="s">
        <v>494</v>
      </c>
      <c r="I76" t="s">
        <v>46</v>
      </c>
      <c r="J76" t="s">
        <v>47</v>
      </c>
      <c r="K76" t="s">
        <v>89</v>
      </c>
      <c r="L76" t="s">
        <v>58</v>
      </c>
      <c r="M76">
        <v>63</v>
      </c>
      <c r="N76">
        <v>28</v>
      </c>
      <c r="O76">
        <v>11</v>
      </c>
      <c r="P76">
        <v>187</v>
      </c>
      <c r="Q76" t="s">
        <v>495</v>
      </c>
      <c r="R76">
        <v>0</v>
      </c>
      <c r="S76">
        <v>0</v>
      </c>
      <c r="T76">
        <v>11</v>
      </c>
      <c r="U76">
        <v>11</v>
      </c>
      <c r="V76">
        <v>11</v>
      </c>
      <c r="W76">
        <v>134.53</v>
      </c>
      <c r="X76">
        <v>15</v>
      </c>
      <c r="Y76">
        <v>0</v>
      </c>
      <c r="Z76">
        <v>9</v>
      </c>
      <c r="AA76">
        <v>3</v>
      </c>
      <c r="AB76">
        <v>61</v>
      </c>
      <c r="AC76">
        <v>210.4</v>
      </c>
      <c r="AD76">
        <v>0</v>
      </c>
      <c r="AE76">
        <v>1808</v>
      </c>
      <c r="AF76">
        <v>78</v>
      </c>
      <c r="AG76" t="s">
        <v>496</v>
      </c>
      <c r="AH76">
        <v>6</v>
      </c>
      <c r="AI76">
        <v>1</v>
      </c>
      <c r="AJ76">
        <v>23.17</v>
      </c>
      <c r="AK76">
        <v>8.58</v>
      </c>
      <c r="AL76">
        <v>16.2</v>
      </c>
      <c r="AM76">
        <v>61</v>
      </c>
    </row>
    <row r="77" spans="1:39" x14ac:dyDescent="0.3">
      <c r="A77" t="s">
        <v>497</v>
      </c>
      <c r="B77" t="s">
        <v>477</v>
      </c>
      <c r="C77" t="s">
        <v>498</v>
      </c>
      <c r="D77" t="s">
        <v>52</v>
      </c>
      <c r="E77">
        <v>10.75</v>
      </c>
      <c r="F77" t="s">
        <v>499</v>
      </c>
      <c r="G77" t="s">
        <v>500</v>
      </c>
      <c r="H77" t="s">
        <v>501</v>
      </c>
      <c r="I77" t="s">
        <v>152</v>
      </c>
      <c r="J77" t="s">
        <v>47</v>
      </c>
      <c r="K77" t="s">
        <v>57</v>
      </c>
      <c r="L77" t="s">
        <v>58</v>
      </c>
      <c r="M77">
        <v>2</v>
      </c>
      <c r="N77">
        <v>2</v>
      </c>
      <c r="O77">
        <v>1</v>
      </c>
      <c r="P77">
        <v>1</v>
      </c>
      <c r="Q77" t="s">
        <v>502</v>
      </c>
      <c r="R77">
        <v>0</v>
      </c>
      <c r="S77">
        <v>0</v>
      </c>
      <c r="T77">
        <v>0</v>
      </c>
      <c r="U77">
        <v>0</v>
      </c>
      <c r="V77">
        <v>1</v>
      </c>
      <c r="W77">
        <v>50</v>
      </c>
      <c r="Z77">
        <v>1</v>
      </c>
      <c r="AA77">
        <v>0</v>
      </c>
      <c r="AB77">
        <v>2</v>
      </c>
      <c r="AC77">
        <v>6</v>
      </c>
      <c r="AD77">
        <v>0</v>
      </c>
      <c r="AE77">
        <v>60</v>
      </c>
      <c r="AF77">
        <v>0</v>
      </c>
      <c r="AG77" t="s">
        <v>503</v>
      </c>
      <c r="AH77">
        <v>0</v>
      </c>
      <c r="AI77">
        <v>0</v>
      </c>
      <c r="AK77">
        <v>10</v>
      </c>
      <c r="AM77">
        <v>2</v>
      </c>
    </row>
    <row r="78" spans="1:39" x14ac:dyDescent="0.3">
      <c r="A78" t="s">
        <v>504</v>
      </c>
      <c r="B78" t="s">
        <v>477</v>
      </c>
      <c r="C78" t="s">
        <v>505</v>
      </c>
      <c r="D78" t="s">
        <v>63</v>
      </c>
      <c r="E78">
        <v>7.75</v>
      </c>
      <c r="F78" t="s">
        <v>506</v>
      </c>
      <c r="G78" t="s">
        <v>507</v>
      </c>
      <c r="H78" t="s">
        <v>508</v>
      </c>
      <c r="I78" t="s">
        <v>135</v>
      </c>
      <c r="J78" t="s">
        <v>67</v>
      </c>
      <c r="K78" t="s">
        <v>124</v>
      </c>
      <c r="L78" t="s">
        <v>58</v>
      </c>
      <c r="M78">
        <v>12</v>
      </c>
      <c r="N78">
        <v>0</v>
      </c>
      <c r="O78">
        <v>0</v>
      </c>
      <c r="R78">
        <v>0</v>
      </c>
      <c r="S78">
        <v>0</v>
      </c>
      <c r="T78">
        <v>0</v>
      </c>
      <c r="U78">
        <v>0</v>
      </c>
      <c r="W78">
        <v>0</v>
      </c>
      <c r="X78">
        <v>1</v>
      </c>
      <c r="Y78">
        <v>0</v>
      </c>
      <c r="Z78">
        <v>0</v>
      </c>
      <c r="AA78">
        <v>0</v>
      </c>
      <c r="AB78">
        <v>12</v>
      </c>
      <c r="AC78">
        <v>45</v>
      </c>
      <c r="AD78">
        <v>0</v>
      </c>
      <c r="AE78">
        <v>357</v>
      </c>
      <c r="AF78">
        <v>12</v>
      </c>
      <c r="AG78" t="s">
        <v>509</v>
      </c>
      <c r="AH78">
        <v>1</v>
      </c>
      <c r="AI78">
        <v>0</v>
      </c>
      <c r="AJ78">
        <v>29.75</v>
      </c>
      <c r="AK78">
        <v>7.93</v>
      </c>
      <c r="AL78">
        <v>22.5</v>
      </c>
      <c r="AM78">
        <v>12</v>
      </c>
    </row>
    <row r="79" spans="1:39" x14ac:dyDescent="0.3">
      <c r="A79" t="s">
        <v>510</v>
      </c>
      <c r="B79" t="s">
        <v>477</v>
      </c>
      <c r="C79" t="s">
        <v>511</v>
      </c>
      <c r="D79" t="s">
        <v>42</v>
      </c>
      <c r="E79">
        <v>7</v>
      </c>
      <c r="F79" t="s">
        <v>512</v>
      </c>
      <c r="G79" t="s">
        <v>513</v>
      </c>
      <c r="H79" t="s">
        <v>514</v>
      </c>
      <c r="I79" t="s">
        <v>66</v>
      </c>
      <c r="J79" t="s">
        <v>47</v>
      </c>
      <c r="K79" t="s">
        <v>57</v>
      </c>
      <c r="L79" t="s">
        <v>58</v>
      </c>
      <c r="M79">
        <v>100</v>
      </c>
      <c r="N79">
        <v>93</v>
      </c>
      <c r="O79">
        <v>9</v>
      </c>
      <c r="P79">
        <v>2935</v>
      </c>
      <c r="Q79" t="s">
        <v>515</v>
      </c>
      <c r="R79">
        <v>0</v>
      </c>
      <c r="S79">
        <v>22</v>
      </c>
      <c r="T79">
        <v>265</v>
      </c>
      <c r="U79">
        <v>96</v>
      </c>
      <c r="V79">
        <v>34.94</v>
      </c>
      <c r="W79">
        <v>131.08000000000001</v>
      </c>
      <c r="X79">
        <v>66</v>
      </c>
      <c r="Y79">
        <v>0</v>
      </c>
      <c r="Z79">
        <v>5</v>
      </c>
      <c r="AA79">
        <v>9</v>
      </c>
      <c r="AB79">
        <v>1</v>
      </c>
      <c r="AC79">
        <v>1</v>
      </c>
      <c r="AD79">
        <v>0</v>
      </c>
      <c r="AE79">
        <v>16</v>
      </c>
      <c r="AF79">
        <v>0</v>
      </c>
      <c r="AG79" t="s">
        <v>516</v>
      </c>
      <c r="AH79">
        <v>0</v>
      </c>
      <c r="AI79">
        <v>0</v>
      </c>
      <c r="AK79">
        <v>16</v>
      </c>
      <c r="AM79">
        <v>1</v>
      </c>
    </row>
    <row r="80" spans="1:39" x14ac:dyDescent="0.3">
      <c r="A80" t="s">
        <v>517</v>
      </c>
      <c r="B80" t="s">
        <v>477</v>
      </c>
      <c r="C80" t="s">
        <v>518</v>
      </c>
      <c r="D80" t="s">
        <v>63</v>
      </c>
      <c r="E80">
        <v>7</v>
      </c>
      <c r="F80" t="s">
        <v>517</v>
      </c>
      <c r="G80" t="s">
        <v>519</v>
      </c>
      <c r="H80" t="s">
        <v>520</v>
      </c>
      <c r="I80" t="s">
        <v>46</v>
      </c>
      <c r="J80" t="s">
        <v>47</v>
      </c>
      <c r="K80" t="s">
        <v>130</v>
      </c>
      <c r="L80" t="s">
        <v>58</v>
      </c>
      <c r="M80">
        <v>50</v>
      </c>
      <c r="N80">
        <v>15</v>
      </c>
      <c r="O80">
        <v>10</v>
      </c>
      <c r="P80">
        <v>66</v>
      </c>
      <c r="Q80" t="s">
        <v>521</v>
      </c>
      <c r="R80">
        <v>0</v>
      </c>
      <c r="S80">
        <v>0</v>
      </c>
      <c r="T80">
        <v>5</v>
      </c>
      <c r="U80">
        <v>2</v>
      </c>
      <c r="V80">
        <v>13.2</v>
      </c>
      <c r="W80">
        <v>86.84</v>
      </c>
      <c r="X80">
        <v>16</v>
      </c>
      <c r="Y80">
        <v>0</v>
      </c>
      <c r="Z80">
        <v>5</v>
      </c>
      <c r="AA80">
        <v>1</v>
      </c>
      <c r="AB80">
        <v>50</v>
      </c>
      <c r="AC80">
        <v>171.2</v>
      </c>
      <c r="AD80">
        <v>4</v>
      </c>
      <c r="AE80">
        <v>1437</v>
      </c>
      <c r="AF80">
        <v>50</v>
      </c>
      <c r="AG80" t="s">
        <v>522</v>
      </c>
      <c r="AH80">
        <v>3</v>
      </c>
      <c r="AI80">
        <v>0</v>
      </c>
      <c r="AJ80">
        <v>28.74</v>
      </c>
      <c r="AK80">
        <v>8.3800000000000008</v>
      </c>
      <c r="AL80">
        <v>20.56</v>
      </c>
      <c r="AM80">
        <v>50</v>
      </c>
    </row>
    <row r="81" spans="1:39" x14ac:dyDescent="0.3">
      <c r="A81" t="s">
        <v>523</v>
      </c>
      <c r="B81" t="s">
        <v>477</v>
      </c>
      <c r="C81" t="s">
        <v>524</v>
      </c>
      <c r="D81" t="s">
        <v>85</v>
      </c>
      <c r="E81">
        <v>5.5</v>
      </c>
      <c r="F81" t="s">
        <v>525</v>
      </c>
      <c r="G81" t="s">
        <v>526</v>
      </c>
      <c r="H81" t="s">
        <v>527</v>
      </c>
      <c r="I81" t="s">
        <v>46</v>
      </c>
      <c r="J81" t="s">
        <v>47</v>
      </c>
      <c r="K81" t="s">
        <v>48</v>
      </c>
      <c r="M81">
        <v>213</v>
      </c>
      <c r="N81">
        <v>192</v>
      </c>
      <c r="O81">
        <v>35</v>
      </c>
      <c r="P81">
        <v>4046</v>
      </c>
      <c r="Q81" t="s">
        <v>528</v>
      </c>
      <c r="R81">
        <v>0</v>
      </c>
      <c r="S81">
        <v>19</v>
      </c>
      <c r="T81">
        <v>399</v>
      </c>
      <c r="U81">
        <v>112</v>
      </c>
      <c r="V81">
        <v>25.77</v>
      </c>
      <c r="W81">
        <v>129.72</v>
      </c>
      <c r="X81">
        <v>123</v>
      </c>
      <c r="Y81">
        <v>32</v>
      </c>
      <c r="Z81">
        <v>14</v>
      </c>
      <c r="AA81">
        <v>12</v>
      </c>
    </row>
    <row r="82" spans="1:39" x14ac:dyDescent="0.3">
      <c r="A82" t="s">
        <v>529</v>
      </c>
      <c r="B82" t="s">
        <v>477</v>
      </c>
      <c r="C82" t="s">
        <v>530</v>
      </c>
      <c r="D82" t="s">
        <v>85</v>
      </c>
      <c r="E82">
        <v>3.4</v>
      </c>
      <c r="F82" t="s">
        <v>529</v>
      </c>
      <c r="G82" t="s">
        <v>531</v>
      </c>
      <c r="H82" t="s">
        <v>532</v>
      </c>
      <c r="I82" t="s">
        <v>46</v>
      </c>
      <c r="J82" t="s">
        <v>67</v>
      </c>
      <c r="M82">
        <v>2</v>
      </c>
      <c r="N82">
        <v>1</v>
      </c>
      <c r="O82">
        <v>0</v>
      </c>
      <c r="P82">
        <v>0</v>
      </c>
      <c r="Q82" t="s">
        <v>248</v>
      </c>
      <c r="R82">
        <v>0</v>
      </c>
      <c r="S82">
        <v>0</v>
      </c>
      <c r="T82">
        <v>0</v>
      </c>
      <c r="U82">
        <v>0</v>
      </c>
      <c r="V82">
        <v>0</v>
      </c>
      <c r="W82">
        <v>0</v>
      </c>
      <c r="X82">
        <v>3</v>
      </c>
      <c r="Y82">
        <v>0</v>
      </c>
      <c r="Z82">
        <v>1</v>
      </c>
      <c r="AA82">
        <v>0</v>
      </c>
    </row>
    <row r="83" spans="1:39" x14ac:dyDescent="0.3">
      <c r="A83" t="s">
        <v>533</v>
      </c>
      <c r="B83" t="s">
        <v>477</v>
      </c>
      <c r="C83" t="s">
        <v>534</v>
      </c>
      <c r="D83" t="s">
        <v>52</v>
      </c>
      <c r="E83">
        <v>2.4</v>
      </c>
      <c r="F83" t="s">
        <v>533</v>
      </c>
      <c r="G83" t="s">
        <v>535</v>
      </c>
      <c r="H83" t="s">
        <v>536</v>
      </c>
      <c r="I83" t="s">
        <v>46</v>
      </c>
      <c r="J83" t="s">
        <v>67</v>
      </c>
      <c r="K83" t="s">
        <v>116</v>
      </c>
      <c r="L83" t="s">
        <v>58</v>
      </c>
      <c r="M83">
        <v>13</v>
      </c>
      <c r="N83">
        <v>8</v>
      </c>
      <c r="O83">
        <v>1</v>
      </c>
      <c r="P83">
        <v>60</v>
      </c>
      <c r="Q83" t="s">
        <v>288</v>
      </c>
      <c r="R83">
        <v>0</v>
      </c>
      <c r="S83">
        <v>0</v>
      </c>
      <c r="T83">
        <v>4</v>
      </c>
      <c r="U83">
        <v>2</v>
      </c>
      <c r="V83">
        <v>8.57</v>
      </c>
      <c r="W83">
        <v>111.11</v>
      </c>
      <c r="X83">
        <v>5</v>
      </c>
      <c r="Y83">
        <v>0</v>
      </c>
      <c r="Z83">
        <v>0</v>
      </c>
      <c r="AA83">
        <v>0</v>
      </c>
      <c r="AB83">
        <v>8</v>
      </c>
      <c r="AC83">
        <v>20</v>
      </c>
      <c r="AD83">
        <v>0</v>
      </c>
      <c r="AE83">
        <v>136</v>
      </c>
      <c r="AF83">
        <v>9</v>
      </c>
      <c r="AG83" t="s">
        <v>537</v>
      </c>
      <c r="AH83">
        <v>1</v>
      </c>
      <c r="AI83">
        <v>0</v>
      </c>
      <c r="AJ83">
        <v>15.11</v>
      </c>
      <c r="AK83">
        <v>6.8</v>
      </c>
      <c r="AL83">
        <v>13.33</v>
      </c>
      <c r="AM83">
        <v>8</v>
      </c>
    </row>
    <row r="84" spans="1:39" x14ac:dyDescent="0.3">
      <c r="A84" t="s">
        <v>538</v>
      </c>
      <c r="B84" t="s">
        <v>477</v>
      </c>
      <c r="C84" t="s">
        <v>539</v>
      </c>
      <c r="D84" t="s">
        <v>52</v>
      </c>
      <c r="E84">
        <v>2</v>
      </c>
      <c r="F84" t="s">
        <v>540</v>
      </c>
      <c r="G84" t="s">
        <v>541</v>
      </c>
      <c r="H84" t="s">
        <v>542</v>
      </c>
      <c r="I84" t="s">
        <v>56</v>
      </c>
      <c r="J84" t="s">
        <v>67</v>
      </c>
      <c r="K84" t="s">
        <v>366</v>
      </c>
      <c r="L84" t="s">
        <v>58</v>
      </c>
      <c r="M84">
        <v>3</v>
      </c>
      <c r="N84">
        <v>0</v>
      </c>
      <c r="O84">
        <v>0</v>
      </c>
      <c r="R84">
        <v>0</v>
      </c>
      <c r="S84">
        <v>0</v>
      </c>
      <c r="T84">
        <v>0</v>
      </c>
      <c r="U84">
        <v>0</v>
      </c>
      <c r="W84">
        <v>0</v>
      </c>
      <c r="X84">
        <v>2</v>
      </c>
      <c r="Y84">
        <v>0</v>
      </c>
      <c r="Z84">
        <v>0</v>
      </c>
      <c r="AA84">
        <v>0</v>
      </c>
      <c r="AB84">
        <v>3</v>
      </c>
      <c r="AC84">
        <v>10</v>
      </c>
      <c r="AD84">
        <v>0</v>
      </c>
      <c r="AE84">
        <v>95</v>
      </c>
      <c r="AF84">
        <v>2</v>
      </c>
      <c r="AG84" t="s">
        <v>543</v>
      </c>
      <c r="AH84">
        <v>0</v>
      </c>
      <c r="AI84">
        <v>0</v>
      </c>
      <c r="AJ84">
        <v>47.5</v>
      </c>
      <c r="AK84">
        <v>9.5</v>
      </c>
      <c r="AL84">
        <v>30</v>
      </c>
      <c r="AM84">
        <v>3</v>
      </c>
    </row>
    <row r="85" spans="1:39" x14ac:dyDescent="0.3">
      <c r="A85" t="s">
        <v>544</v>
      </c>
      <c r="B85" t="s">
        <v>477</v>
      </c>
      <c r="C85" t="s">
        <v>545</v>
      </c>
      <c r="D85" t="s">
        <v>52</v>
      </c>
      <c r="E85">
        <v>1</v>
      </c>
      <c r="F85" t="s">
        <v>546</v>
      </c>
      <c r="G85" s="1">
        <v>36022</v>
      </c>
      <c r="H85" t="s">
        <v>547</v>
      </c>
      <c r="I85" t="s">
        <v>96</v>
      </c>
      <c r="J85" t="s">
        <v>67</v>
      </c>
      <c r="K85" t="s">
        <v>124</v>
      </c>
      <c r="L85" t="s">
        <v>58</v>
      </c>
      <c r="M85">
        <v>7</v>
      </c>
      <c r="N85">
        <v>7</v>
      </c>
      <c r="O85">
        <v>2</v>
      </c>
      <c r="P85">
        <v>73</v>
      </c>
      <c r="Q85" t="s">
        <v>548</v>
      </c>
      <c r="R85">
        <v>0</v>
      </c>
      <c r="S85">
        <v>0</v>
      </c>
      <c r="T85">
        <v>2</v>
      </c>
      <c r="U85">
        <v>7</v>
      </c>
      <c r="V85">
        <v>14.6</v>
      </c>
      <c r="W85">
        <v>135.18</v>
      </c>
      <c r="X85">
        <v>5</v>
      </c>
      <c r="Y85">
        <v>0</v>
      </c>
      <c r="Z85">
        <v>0</v>
      </c>
      <c r="AA85">
        <v>0</v>
      </c>
      <c r="AB85">
        <v>6</v>
      </c>
      <c r="AC85">
        <v>6.5</v>
      </c>
      <c r="AD85">
        <v>0</v>
      </c>
      <c r="AE85">
        <v>59</v>
      </c>
      <c r="AF85">
        <v>1</v>
      </c>
      <c r="AG85" t="s">
        <v>549</v>
      </c>
      <c r="AH85">
        <v>0</v>
      </c>
      <c r="AI85">
        <v>0</v>
      </c>
      <c r="AJ85">
        <v>59</v>
      </c>
      <c r="AK85">
        <v>8.6300000000000008</v>
      </c>
      <c r="AL85">
        <v>41</v>
      </c>
      <c r="AM85">
        <v>6</v>
      </c>
    </row>
    <row r="86" spans="1:39" x14ac:dyDescent="0.3">
      <c r="A86" t="s">
        <v>550</v>
      </c>
      <c r="B86" t="s">
        <v>477</v>
      </c>
      <c r="C86" t="s">
        <v>551</v>
      </c>
      <c r="D86" t="s">
        <v>52</v>
      </c>
      <c r="E86">
        <v>0.95</v>
      </c>
      <c r="F86" t="s">
        <v>552</v>
      </c>
      <c r="G86" t="s">
        <v>553</v>
      </c>
      <c r="H86" t="s">
        <v>554</v>
      </c>
      <c r="I86" t="s">
        <v>46</v>
      </c>
      <c r="J86" t="s">
        <v>67</v>
      </c>
      <c r="K86" t="s">
        <v>116</v>
      </c>
      <c r="L86" t="s">
        <v>58</v>
      </c>
      <c r="M86">
        <v>11</v>
      </c>
      <c r="N86">
        <v>10</v>
      </c>
      <c r="O86">
        <v>2</v>
      </c>
      <c r="P86">
        <v>181</v>
      </c>
      <c r="Q86" t="s">
        <v>555</v>
      </c>
      <c r="R86">
        <v>0</v>
      </c>
      <c r="S86">
        <v>0</v>
      </c>
      <c r="T86">
        <v>8</v>
      </c>
      <c r="U86">
        <v>9</v>
      </c>
      <c r="V86">
        <v>22.62</v>
      </c>
      <c r="W86">
        <v>119.86</v>
      </c>
      <c r="X86">
        <v>1</v>
      </c>
      <c r="Y86">
        <v>0</v>
      </c>
      <c r="Z86">
        <v>0</v>
      </c>
      <c r="AA86">
        <v>0</v>
      </c>
      <c r="AB86">
        <v>6</v>
      </c>
      <c r="AC86">
        <v>10</v>
      </c>
      <c r="AD86">
        <v>0</v>
      </c>
      <c r="AE86">
        <v>74</v>
      </c>
      <c r="AF86">
        <v>1</v>
      </c>
      <c r="AG86" t="s">
        <v>556</v>
      </c>
      <c r="AH86">
        <v>0</v>
      </c>
      <c r="AI86">
        <v>0</v>
      </c>
      <c r="AJ86">
        <v>74</v>
      </c>
      <c r="AK86">
        <v>7.4</v>
      </c>
      <c r="AL86">
        <v>60</v>
      </c>
      <c r="AM86">
        <v>6</v>
      </c>
    </row>
    <row r="87" spans="1:39" x14ac:dyDescent="0.3">
      <c r="A87" t="s">
        <v>557</v>
      </c>
      <c r="B87" t="s">
        <v>477</v>
      </c>
      <c r="C87" t="s">
        <v>558</v>
      </c>
      <c r="D87" t="s">
        <v>42</v>
      </c>
      <c r="E87">
        <v>0.8</v>
      </c>
      <c r="F87" t="s">
        <v>559</v>
      </c>
      <c r="G87" t="s">
        <v>560</v>
      </c>
      <c r="H87" t="s">
        <v>561</v>
      </c>
      <c r="I87" t="s">
        <v>205</v>
      </c>
      <c r="J87" t="s">
        <v>47</v>
      </c>
    </row>
    <row r="88" spans="1:39" x14ac:dyDescent="0.3">
      <c r="A88" t="s">
        <v>562</v>
      </c>
      <c r="B88" t="s">
        <v>477</v>
      </c>
      <c r="C88" t="s">
        <v>563</v>
      </c>
      <c r="D88" t="s">
        <v>63</v>
      </c>
      <c r="E88">
        <v>0.75</v>
      </c>
      <c r="F88" t="s">
        <v>564</v>
      </c>
      <c r="G88" t="s">
        <v>565</v>
      </c>
      <c r="H88" t="s">
        <v>566</v>
      </c>
      <c r="I88" t="s">
        <v>135</v>
      </c>
      <c r="J88" t="s">
        <v>47</v>
      </c>
      <c r="K88" t="s">
        <v>366</v>
      </c>
      <c r="L88" t="s">
        <v>58</v>
      </c>
      <c r="M88">
        <v>5</v>
      </c>
      <c r="N88">
        <v>0</v>
      </c>
      <c r="O88">
        <v>0</v>
      </c>
      <c r="R88">
        <v>0</v>
      </c>
      <c r="S88">
        <v>0</v>
      </c>
      <c r="T88">
        <v>0</v>
      </c>
      <c r="U88">
        <v>0</v>
      </c>
      <c r="W88">
        <v>0</v>
      </c>
      <c r="Z88">
        <v>0</v>
      </c>
      <c r="AA88">
        <v>0</v>
      </c>
      <c r="AB88">
        <v>5</v>
      </c>
      <c r="AC88">
        <v>19</v>
      </c>
      <c r="AD88">
        <v>0</v>
      </c>
      <c r="AE88">
        <v>165</v>
      </c>
      <c r="AF88">
        <v>5</v>
      </c>
      <c r="AG88" t="s">
        <v>567</v>
      </c>
      <c r="AH88">
        <v>0</v>
      </c>
      <c r="AI88">
        <v>0</v>
      </c>
      <c r="AJ88">
        <v>33</v>
      </c>
      <c r="AK88">
        <v>8.68</v>
      </c>
      <c r="AL88">
        <v>22.8</v>
      </c>
      <c r="AM88">
        <v>5</v>
      </c>
    </row>
    <row r="89" spans="1:39" x14ac:dyDescent="0.3">
      <c r="A89" t="s">
        <v>568</v>
      </c>
      <c r="B89" t="s">
        <v>477</v>
      </c>
      <c r="C89" t="s">
        <v>569</v>
      </c>
      <c r="D89" t="s">
        <v>63</v>
      </c>
      <c r="E89">
        <v>0.75</v>
      </c>
      <c r="F89" t="s">
        <v>568</v>
      </c>
      <c r="G89" t="s">
        <v>570</v>
      </c>
      <c r="H89" t="s">
        <v>571</v>
      </c>
      <c r="I89" t="s">
        <v>46</v>
      </c>
      <c r="J89" t="s">
        <v>47</v>
      </c>
      <c r="K89" t="s">
        <v>89</v>
      </c>
      <c r="L89" t="s">
        <v>58</v>
      </c>
      <c r="M89">
        <v>54</v>
      </c>
      <c r="N89">
        <v>12</v>
      </c>
      <c r="O89">
        <v>8</v>
      </c>
      <c r="P89">
        <v>20</v>
      </c>
      <c r="Q89" t="s">
        <v>572</v>
      </c>
      <c r="R89">
        <v>0</v>
      </c>
      <c r="S89">
        <v>0</v>
      </c>
      <c r="T89">
        <v>1</v>
      </c>
      <c r="U89">
        <v>0</v>
      </c>
      <c r="V89">
        <v>5</v>
      </c>
      <c r="W89">
        <v>55.55</v>
      </c>
      <c r="X89">
        <v>8</v>
      </c>
      <c r="Y89">
        <v>0</v>
      </c>
      <c r="Z89">
        <v>6</v>
      </c>
      <c r="AA89">
        <v>2</v>
      </c>
      <c r="AB89">
        <v>54</v>
      </c>
      <c r="AC89">
        <v>197.3</v>
      </c>
      <c r="AD89">
        <v>3</v>
      </c>
      <c r="AE89">
        <v>1696</v>
      </c>
      <c r="AF89">
        <v>58</v>
      </c>
      <c r="AG89" t="s">
        <v>573</v>
      </c>
      <c r="AH89">
        <v>3</v>
      </c>
      <c r="AI89">
        <v>0</v>
      </c>
      <c r="AJ89">
        <v>29.24</v>
      </c>
      <c r="AK89">
        <v>8.58</v>
      </c>
      <c r="AL89">
        <v>20.43</v>
      </c>
      <c r="AM89">
        <v>54</v>
      </c>
    </row>
    <row r="90" spans="1:39" x14ac:dyDescent="0.3">
      <c r="A90" t="s">
        <v>574</v>
      </c>
      <c r="B90" t="s">
        <v>477</v>
      </c>
      <c r="C90" t="s">
        <v>575</v>
      </c>
      <c r="D90" t="s">
        <v>63</v>
      </c>
      <c r="E90">
        <v>0.5</v>
      </c>
      <c r="F90" t="s">
        <v>576</v>
      </c>
      <c r="G90" t="s">
        <v>577</v>
      </c>
      <c r="H90" t="s">
        <v>578</v>
      </c>
      <c r="I90" t="s">
        <v>46</v>
      </c>
      <c r="J90" t="s">
        <v>67</v>
      </c>
      <c r="K90" t="s">
        <v>102</v>
      </c>
      <c r="L90" t="s">
        <v>58</v>
      </c>
      <c r="M90">
        <v>68</v>
      </c>
      <c r="N90">
        <v>35</v>
      </c>
      <c r="O90">
        <v>14</v>
      </c>
      <c r="P90">
        <v>317</v>
      </c>
      <c r="Q90" t="s">
        <v>579</v>
      </c>
      <c r="R90">
        <v>0</v>
      </c>
      <c r="S90">
        <v>0</v>
      </c>
      <c r="T90">
        <v>18</v>
      </c>
      <c r="U90">
        <v>14</v>
      </c>
      <c r="V90">
        <v>15.09</v>
      </c>
      <c r="W90">
        <v>115.69</v>
      </c>
      <c r="X90">
        <v>14</v>
      </c>
      <c r="Y90">
        <v>0</v>
      </c>
      <c r="Z90">
        <v>2</v>
      </c>
      <c r="AA90">
        <v>3</v>
      </c>
      <c r="AB90">
        <v>66</v>
      </c>
      <c r="AC90">
        <v>203.4</v>
      </c>
      <c r="AD90">
        <v>1</v>
      </c>
      <c r="AE90">
        <v>1610</v>
      </c>
      <c r="AF90">
        <v>59</v>
      </c>
      <c r="AG90" t="s">
        <v>580</v>
      </c>
      <c r="AH90">
        <v>2</v>
      </c>
      <c r="AI90">
        <v>0</v>
      </c>
      <c r="AJ90">
        <v>27.28</v>
      </c>
      <c r="AK90">
        <v>7.9</v>
      </c>
      <c r="AL90">
        <v>20.71</v>
      </c>
      <c r="AM90">
        <v>66</v>
      </c>
    </row>
    <row r="91" spans="1:39" x14ac:dyDescent="0.3">
      <c r="A91" t="s">
        <v>581</v>
      </c>
      <c r="B91" t="s">
        <v>477</v>
      </c>
      <c r="C91" t="s">
        <v>582</v>
      </c>
      <c r="D91" t="s">
        <v>52</v>
      </c>
      <c r="E91">
        <v>0.3</v>
      </c>
      <c r="F91" t="s">
        <v>583</v>
      </c>
      <c r="G91" s="1">
        <v>35770</v>
      </c>
      <c r="H91" t="s">
        <v>584</v>
      </c>
      <c r="I91" t="s">
        <v>46</v>
      </c>
      <c r="J91" t="s">
        <v>47</v>
      </c>
      <c r="K91" t="s">
        <v>89</v>
      </c>
    </row>
    <row r="92" spans="1:39" x14ac:dyDescent="0.3">
      <c r="A92" t="s">
        <v>585</v>
      </c>
      <c r="B92" t="s">
        <v>477</v>
      </c>
      <c r="C92" t="s">
        <v>586</v>
      </c>
      <c r="D92" t="s">
        <v>63</v>
      </c>
      <c r="E92">
        <v>0.25</v>
      </c>
    </row>
    <row r="93" spans="1:39" x14ac:dyDescent="0.3">
      <c r="A93" t="s">
        <v>587</v>
      </c>
      <c r="B93" t="s">
        <v>477</v>
      </c>
      <c r="C93" t="s">
        <v>588</v>
      </c>
      <c r="D93" t="s">
        <v>52</v>
      </c>
      <c r="E93">
        <v>0.2</v>
      </c>
      <c r="F93" t="s">
        <v>589</v>
      </c>
      <c r="G93" t="s">
        <v>590</v>
      </c>
      <c r="H93" t="s">
        <v>591</v>
      </c>
      <c r="I93" t="s">
        <v>46</v>
      </c>
      <c r="J93" t="s">
        <v>67</v>
      </c>
      <c r="K93" t="s">
        <v>116</v>
      </c>
    </row>
    <row r="94" spans="1:39" x14ac:dyDescent="0.3">
      <c r="A94" t="s">
        <v>592</v>
      </c>
      <c r="B94" t="s">
        <v>477</v>
      </c>
      <c r="C94" t="s">
        <v>593</v>
      </c>
      <c r="D94" t="s">
        <v>63</v>
      </c>
      <c r="E94">
        <v>0.2</v>
      </c>
      <c r="F94" t="s">
        <v>592</v>
      </c>
      <c r="G94" t="s">
        <v>594</v>
      </c>
      <c r="H94" t="s">
        <v>595</v>
      </c>
      <c r="I94" t="s">
        <v>46</v>
      </c>
      <c r="J94" t="s">
        <v>47</v>
      </c>
      <c r="K94" t="s">
        <v>89</v>
      </c>
    </row>
    <row r="95" spans="1:39" x14ac:dyDescent="0.3">
      <c r="A95" t="s">
        <v>596</v>
      </c>
      <c r="B95" t="s">
        <v>477</v>
      </c>
      <c r="C95" t="s">
        <v>597</v>
      </c>
      <c r="D95" t="s">
        <v>85</v>
      </c>
      <c r="E95">
        <v>0.2</v>
      </c>
      <c r="F95" t="s">
        <v>598</v>
      </c>
      <c r="G95" t="s">
        <v>599</v>
      </c>
      <c r="H95" t="s">
        <v>600</v>
      </c>
      <c r="I95" t="s">
        <v>46</v>
      </c>
      <c r="J95" t="s">
        <v>67</v>
      </c>
      <c r="K95" t="s">
        <v>267</v>
      </c>
    </row>
    <row r="96" spans="1:39" x14ac:dyDescent="0.3">
      <c r="A96" t="s">
        <v>601</v>
      </c>
      <c r="B96" t="s">
        <v>602</v>
      </c>
      <c r="C96" t="s">
        <v>603</v>
      </c>
      <c r="D96" t="s">
        <v>42</v>
      </c>
      <c r="E96">
        <v>16</v>
      </c>
      <c r="F96" t="s">
        <v>604</v>
      </c>
      <c r="G96" t="s">
        <v>605</v>
      </c>
      <c r="H96" t="s">
        <v>606</v>
      </c>
      <c r="I96" t="s">
        <v>46</v>
      </c>
      <c r="J96" t="s">
        <v>47</v>
      </c>
      <c r="K96" t="s">
        <v>48</v>
      </c>
      <c r="L96" t="s">
        <v>58</v>
      </c>
      <c r="M96">
        <v>213</v>
      </c>
      <c r="N96">
        <v>208</v>
      </c>
      <c r="O96">
        <v>28</v>
      </c>
      <c r="P96">
        <v>5611</v>
      </c>
      <c r="Q96" t="s">
        <v>607</v>
      </c>
      <c r="R96">
        <v>1</v>
      </c>
      <c r="S96">
        <v>40</v>
      </c>
      <c r="T96">
        <v>491</v>
      </c>
      <c r="U96">
        <v>227</v>
      </c>
      <c r="V96">
        <v>31.17</v>
      </c>
      <c r="W96">
        <v>130.38999999999999</v>
      </c>
      <c r="X96">
        <v>90</v>
      </c>
      <c r="Y96">
        <v>0</v>
      </c>
      <c r="Z96">
        <v>13</v>
      </c>
      <c r="AA96">
        <v>11</v>
      </c>
      <c r="AB96">
        <v>32</v>
      </c>
      <c r="AC96">
        <v>56.3</v>
      </c>
      <c r="AD96">
        <v>0</v>
      </c>
      <c r="AE96">
        <v>453</v>
      </c>
      <c r="AF96">
        <v>15</v>
      </c>
      <c r="AG96" t="s">
        <v>608</v>
      </c>
      <c r="AH96">
        <v>1</v>
      </c>
      <c r="AI96">
        <v>0</v>
      </c>
      <c r="AJ96">
        <v>30.2</v>
      </c>
      <c r="AK96">
        <v>8.01</v>
      </c>
      <c r="AL96">
        <v>22.6</v>
      </c>
      <c r="AM96">
        <v>32</v>
      </c>
    </row>
    <row r="97" spans="1:39" x14ac:dyDescent="0.3">
      <c r="A97" t="s">
        <v>609</v>
      </c>
      <c r="B97" t="s">
        <v>602</v>
      </c>
      <c r="C97" t="s">
        <v>610</v>
      </c>
      <c r="D97" t="s">
        <v>85</v>
      </c>
      <c r="E97">
        <v>15.25</v>
      </c>
      <c r="F97" t="s">
        <v>611</v>
      </c>
      <c r="G97" t="s">
        <v>612</v>
      </c>
      <c r="H97" t="s">
        <v>613</v>
      </c>
      <c r="I97" t="s">
        <v>46</v>
      </c>
      <c r="J97" t="s">
        <v>67</v>
      </c>
      <c r="K97" t="s">
        <v>267</v>
      </c>
      <c r="M97">
        <v>61</v>
      </c>
      <c r="N97">
        <v>56</v>
      </c>
      <c r="O97">
        <v>5</v>
      </c>
      <c r="P97">
        <v>1452</v>
      </c>
      <c r="Q97" t="s">
        <v>614</v>
      </c>
      <c r="R97">
        <v>0</v>
      </c>
      <c r="S97">
        <v>9</v>
      </c>
      <c r="T97">
        <v>121</v>
      </c>
      <c r="U97">
        <v>74</v>
      </c>
      <c r="V97">
        <v>28.47</v>
      </c>
      <c r="W97">
        <v>136.33000000000001</v>
      </c>
      <c r="X97">
        <v>19</v>
      </c>
      <c r="Y97">
        <v>2</v>
      </c>
      <c r="Z97">
        <v>5</v>
      </c>
      <c r="AA97">
        <v>5</v>
      </c>
    </row>
    <row r="98" spans="1:39" x14ac:dyDescent="0.3">
      <c r="A98" t="s">
        <v>615</v>
      </c>
      <c r="B98" t="s">
        <v>602</v>
      </c>
      <c r="C98" t="s">
        <v>616</v>
      </c>
      <c r="D98" t="s">
        <v>63</v>
      </c>
      <c r="E98">
        <v>12</v>
      </c>
      <c r="F98" t="s">
        <v>617</v>
      </c>
      <c r="G98" t="s">
        <v>618</v>
      </c>
      <c r="H98" t="s">
        <v>619</v>
      </c>
      <c r="I98" t="s">
        <v>46</v>
      </c>
      <c r="J98" t="s">
        <v>47</v>
      </c>
      <c r="K98" t="s">
        <v>68</v>
      </c>
      <c r="L98" t="s">
        <v>58</v>
      </c>
      <c r="M98">
        <v>106</v>
      </c>
      <c r="N98">
        <v>20</v>
      </c>
      <c r="O98">
        <v>15</v>
      </c>
      <c r="P98">
        <v>56</v>
      </c>
      <c r="Q98" t="s">
        <v>620</v>
      </c>
      <c r="R98">
        <v>0</v>
      </c>
      <c r="S98">
        <v>0</v>
      </c>
      <c r="T98">
        <v>4</v>
      </c>
      <c r="U98">
        <v>1</v>
      </c>
      <c r="V98">
        <v>11.2</v>
      </c>
      <c r="W98">
        <v>96.55</v>
      </c>
      <c r="X98">
        <v>13</v>
      </c>
      <c r="Y98">
        <v>0</v>
      </c>
      <c r="Z98">
        <v>7</v>
      </c>
      <c r="AA98">
        <v>1</v>
      </c>
      <c r="AB98">
        <v>106</v>
      </c>
      <c r="AC98">
        <v>403.4</v>
      </c>
      <c r="AD98">
        <v>5</v>
      </c>
      <c r="AE98">
        <v>2997</v>
      </c>
      <c r="AF98">
        <v>130</v>
      </c>
      <c r="AG98" t="s">
        <v>621</v>
      </c>
      <c r="AH98">
        <v>14</v>
      </c>
      <c r="AI98">
        <v>0</v>
      </c>
      <c r="AJ98">
        <v>23.05</v>
      </c>
      <c r="AK98">
        <v>7.42</v>
      </c>
      <c r="AL98">
        <v>18.63</v>
      </c>
      <c r="AM98">
        <v>106</v>
      </c>
    </row>
    <row r="99" spans="1:39" x14ac:dyDescent="0.3">
      <c r="A99" t="s">
        <v>622</v>
      </c>
      <c r="B99" t="s">
        <v>602</v>
      </c>
      <c r="C99" t="s">
        <v>623</v>
      </c>
      <c r="D99" t="s">
        <v>52</v>
      </c>
      <c r="E99">
        <v>8.25</v>
      </c>
      <c r="F99" t="s">
        <v>624</v>
      </c>
      <c r="G99" s="1">
        <v>35140</v>
      </c>
      <c r="H99" t="s">
        <v>625</v>
      </c>
      <c r="I99" t="s">
        <v>626</v>
      </c>
      <c r="J99" t="s">
        <v>47</v>
      </c>
      <c r="K99" t="s">
        <v>48</v>
      </c>
      <c r="M99">
        <v>1</v>
      </c>
      <c r="N99">
        <v>1</v>
      </c>
      <c r="O99">
        <v>0</v>
      </c>
      <c r="P99">
        <v>1</v>
      </c>
      <c r="Q99" t="s">
        <v>627</v>
      </c>
      <c r="R99">
        <v>0</v>
      </c>
      <c r="S99">
        <v>0</v>
      </c>
      <c r="T99">
        <v>0</v>
      </c>
      <c r="U99">
        <v>0</v>
      </c>
      <c r="V99">
        <v>1</v>
      </c>
      <c r="W99">
        <v>33.33</v>
      </c>
      <c r="Z99">
        <v>0</v>
      </c>
      <c r="AA99">
        <v>0</v>
      </c>
    </row>
    <row r="100" spans="1:39" x14ac:dyDescent="0.3">
      <c r="A100" t="s">
        <v>628</v>
      </c>
      <c r="B100" t="s">
        <v>602</v>
      </c>
      <c r="C100" t="s">
        <v>629</v>
      </c>
      <c r="D100" t="s">
        <v>52</v>
      </c>
      <c r="E100">
        <v>8</v>
      </c>
      <c r="F100" t="s">
        <v>630</v>
      </c>
      <c r="G100" t="s">
        <v>631</v>
      </c>
      <c r="H100" t="s">
        <v>632</v>
      </c>
      <c r="I100" t="s">
        <v>56</v>
      </c>
      <c r="J100" t="s">
        <v>47</v>
      </c>
      <c r="K100" t="s">
        <v>68</v>
      </c>
      <c r="L100" t="s">
        <v>58</v>
      </c>
      <c r="M100">
        <v>35</v>
      </c>
      <c r="N100">
        <v>23</v>
      </c>
      <c r="O100">
        <v>10</v>
      </c>
      <c r="P100">
        <v>195</v>
      </c>
      <c r="Q100" t="s">
        <v>633</v>
      </c>
      <c r="R100">
        <v>0</v>
      </c>
      <c r="S100">
        <v>0</v>
      </c>
      <c r="T100">
        <v>11</v>
      </c>
      <c r="U100">
        <v>14</v>
      </c>
      <c r="V100">
        <v>15</v>
      </c>
      <c r="W100">
        <v>157.25</v>
      </c>
      <c r="X100">
        <v>9</v>
      </c>
      <c r="Y100">
        <v>0</v>
      </c>
      <c r="Z100">
        <v>5</v>
      </c>
      <c r="AA100">
        <v>1</v>
      </c>
      <c r="AB100">
        <v>35</v>
      </c>
      <c r="AC100">
        <v>137.30000000000001</v>
      </c>
      <c r="AD100">
        <v>2</v>
      </c>
      <c r="AE100">
        <v>981</v>
      </c>
      <c r="AF100">
        <v>46</v>
      </c>
      <c r="AG100" t="s">
        <v>634</v>
      </c>
      <c r="AH100">
        <v>6</v>
      </c>
      <c r="AI100">
        <v>0</v>
      </c>
      <c r="AJ100">
        <v>21.32</v>
      </c>
      <c r="AK100">
        <v>7.13</v>
      </c>
      <c r="AL100">
        <v>17.93</v>
      </c>
      <c r="AM100">
        <v>35</v>
      </c>
    </row>
    <row r="101" spans="1:39" x14ac:dyDescent="0.3">
      <c r="A101" t="s">
        <v>635</v>
      </c>
      <c r="B101" t="s">
        <v>602</v>
      </c>
      <c r="C101" t="s">
        <v>636</v>
      </c>
      <c r="D101" t="s">
        <v>42</v>
      </c>
      <c r="E101">
        <v>8</v>
      </c>
      <c r="F101" t="s">
        <v>637</v>
      </c>
      <c r="G101" t="s">
        <v>638</v>
      </c>
      <c r="H101" t="s">
        <v>639</v>
      </c>
      <c r="I101" t="s">
        <v>46</v>
      </c>
      <c r="J101" t="s">
        <v>47</v>
      </c>
      <c r="K101" t="s">
        <v>89</v>
      </c>
      <c r="L101" t="s">
        <v>58</v>
      </c>
      <c r="M101">
        <v>115</v>
      </c>
      <c r="N101">
        <v>100</v>
      </c>
      <c r="O101">
        <v>19</v>
      </c>
      <c r="P101">
        <v>2341</v>
      </c>
      <c r="Q101" t="s">
        <v>640</v>
      </c>
      <c r="R101">
        <v>0</v>
      </c>
      <c r="S101">
        <v>13</v>
      </c>
      <c r="T101">
        <v>261</v>
      </c>
      <c r="U101">
        <v>68</v>
      </c>
      <c r="V101">
        <v>28.9</v>
      </c>
      <c r="W101">
        <v>135.71</v>
      </c>
      <c r="X101">
        <v>55</v>
      </c>
      <c r="Y101">
        <v>0</v>
      </c>
      <c r="Z101">
        <v>7</v>
      </c>
      <c r="AA101">
        <v>5</v>
      </c>
      <c r="AB101">
        <v>1</v>
      </c>
      <c r="AC101">
        <v>1</v>
      </c>
      <c r="AD101">
        <v>0</v>
      </c>
      <c r="AE101">
        <v>8</v>
      </c>
      <c r="AF101">
        <v>0</v>
      </c>
      <c r="AG101" t="s">
        <v>641</v>
      </c>
      <c r="AH101">
        <v>0</v>
      </c>
      <c r="AI101">
        <v>0</v>
      </c>
      <c r="AK101">
        <v>8</v>
      </c>
      <c r="AM101">
        <v>1</v>
      </c>
    </row>
    <row r="102" spans="1:39" x14ac:dyDescent="0.3">
      <c r="A102" t="s">
        <v>642</v>
      </c>
      <c r="B102" t="s">
        <v>602</v>
      </c>
      <c r="C102" t="s">
        <v>643</v>
      </c>
      <c r="D102" t="s">
        <v>52</v>
      </c>
      <c r="E102">
        <v>6</v>
      </c>
      <c r="F102" t="s">
        <v>644</v>
      </c>
      <c r="G102" t="s">
        <v>645</v>
      </c>
      <c r="H102" t="s">
        <v>646</v>
      </c>
      <c r="I102" t="s">
        <v>96</v>
      </c>
      <c r="J102" t="s">
        <v>47</v>
      </c>
      <c r="K102" t="s">
        <v>89</v>
      </c>
      <c r="L102" t="s">
        <v>58</v>
      </c>
      <c r="M102">
        <v>178</v>
      </c>
      <c r="N102">
        <v>160</v>
      </c>
      <c r="O102">
        <v>51</v>
      </c>
      <c r="P102">
        <v>3268</v>
      </c>
      <c r="Q102" t="s">
        <v>647</v>
      </c>
      <c r="R102">
        <v>0</v>
      </c>
      <c r="S102">
        <v>16</v>
      </c>
      <c r="T102">
        <v>212</v>
      </c>
      <c r="U102">
        <v>214</v>
      </c>
      <c r="V102">
        <v>29.98</v>
      </c>
      <c r="W102">
        <v>149.77000000000001</v>
      </c>
      <c r="X102">
        <v>96</v>
      </c>
      <c r="Y102">
        <v>0</v>
      </c>
      <c r="Z102">
        <v>8</v>
      </c>
      <c r="AA102">
        <v>4</v>
      </c>
      <c r="AB102">
        <v>101</v>
      </c>
      <c r="AC102">
        <v>234</v>
      </c>
      <c r="AD102">
        <v>0</v>
      </c>
      <c r="AE102">
        <v>2055</v>
      </c>
      <c r="AF102">
        <v>65</v>
      </c>
      <c r="AG102" t="s">
        <v>648</v>
      </c>
      <c r="AH102">
        <v>2</v>
      </c>
      <c r="AI102">
        <v>0</v>
      </c>
      <c r="AJ102">
        <v>31.61</v>
      </c>
      <c r="AK102">
        <v>8.7799999999999994</v>
      </c>
      <c r="AL102">
        <v>21.6</v>
      </c>
      <c r="AM102">
        <v>101</v>
      </c>
    </row>
    <row r="103" spans="1:39" x14ac:dyDescent="0.3">
      <c r="A103" t="s">
        <v>649</v>
      </c>
      <c r="B103" t="s">
        <v>602</v>
      </c>
      <c r="C103" t="s">
        <v>650</v>
      </c>
      <c r="D103" t="s">
        <v>42</v>
      </c>
      <c r="E103">
        <v>3</v>
      </c>
      <c r="F103" t="s">
        <v>649</v>
      </c>
      <c r="G103" t="s">
        <v>651</v>
      </c>
      <c r="H103" t="s">
        <v>652</v>
      </c>
      <c r="I103" t="s">
        <v>66</v>
      </c>
      <c r="J103" t="s">
        <v>47</v>
      </c>
      <c r="K103" t="s">
        <v>57</v>
      </c>
    </row>
    <row r="104" spans="1:39" x14ac:dyDescent="0.3">
      <c r="A104" t="s">
        <v>653</v>
      </c>
      <c r="B104" t="s">
        <v>602</v>
      </c>
      <c r="C104" t="s">
        <v>654</v>
      </c>
      <c r="D104" t="s">
        <v>52</v>
      </c>
      <c r="E104">
        <v>2.6</v>
      </c>
      <c r="F104" t="s">
        <v>655</v>
      </c>
      <c r="G104" t="s">
        <v>656</v>
      </c>
      <c r="H104" t="s">
        <v>657</v>
      </c>
      <c r="I104" t="s">
        <v>135</v>
      </c>
      <c r="J104" t="s">
        <v>47</v>
      </c>
      <c r="K104" t="s">
        <v>366</v>
      </c>
      <c r="L104" t="s">
        <v>58</v>
      </c>
      <c r="M104">
        <v>5</v>
      </c>
      <c r="N104">
        <v>3</v>
      </c>
      <c r="O104">
        <v>1</v>
      </c>
      <c r="P104">
        <v>6</v>
      </c>
      <c r="Q104" t="s">
        <v>658</v>
      </c>
      <c r="R104">
        <v>0</v>
      </c>
      <c r="S104">
        <v>0</v>
      </c>
      <c r="T104">
        <v>0</v>
      </c>
      <c r="U104">
        <v>0</v>
      </c>
      <c r="V104">
        <v>3</v>
      </c>
      <c r="W104">
        <v>75</v>
      </c>
      <c r="X104">
        <v>3</v>
      </c>
      <c r="Y104">
        <v>0</v>
      </c>
      <c r="Z104">
        <v>1</v>
      </c>
      <c r="AA104">
        <v>0</v>
      </c>
      <c r="AB104">
        <v>5</v>
      </c>
      <c r="AC104">
        <v>18</v>
      </c>
      <c r="AD104">
        <v>0</v>
      </c>
      <c r="AE104">
        <v>153</v>
      </c>
      <c r="AF104">
        <v>1</v>
      </c>
      <c r="AG104" t="s">
        <v>659</v>
      </c>
      <c r="AH104">
        <v>0</v>
      </c>
      <c r="AI104">
        <v>0</v>
      </c>
      <c r="AJ104">
        <v>153</v>
      </c>
      <c r="AK104">
        <v>8.5</v>
      </c>
      <c r="AL104">
        <v>108</v>
      </c>
      <c r="AM104">
        <v>5</v>
      </c>
    </row>
    <row r="105" spans="1:39" x14ac:dyDescent="0.3">
      <c r="A105" t="s">
        <v>660</v>
      </c>
      <c r="B105" t="s">
        <v>602</v>
      </c>
      <c r="C105" t="s">
        <v>661</v>
      </c>
      <c r="D105" t="s">
        <v>52</v>
      </c>
      <c r="E105">
        <v>1.7</v>
      </c>
      <c r="F105" t="s">
        <v>662</v>
      </c>
      <c r="G105" t="s">
        <v>663</v>
      </c>
      <c r="H105" t="s">
        <v>664</v>
      </c>
      <c r="I105" t="s">
        <v>46</v>
      </c>
      <c r="J105" t="s">
        <v>67</v>
      </c>
      <c r="K105" t="s">
        <v>48</v>
      </c>
    </row>
    <row r="106" spans="1:39" x14ac:dyDescent="0.3">
      <c r="A106" t="s">
        <v>665</v>
      </c>
      <c r="B106" t="s">
        <v>602</v>
      </c>
      <c r="C106" t="s">
        <v>666</v>
      </c>
      <c r="D106" t="s">
        <v>63</v>
      </c>
      <c r="E106">
        <v>1.6</v>
      </c>
      <c r="F106" t="s">
        <v>665</v>
      </c>
      <c r="G106" t="s">
        <v>667</v>
      </c>
      <c r="H106" t="s">
        <v>353</v>
      </c>
      <c r="I106" t="s">
        <v>46</v>
      </c>
      <c r="J106" t="s">
        <v>47</v>
      </c>
      <c r="K106" t="s">
        <v>102</v>
      </c>
      <c r="L106" t="s">
        <v>58</v>
      </c>
      <c r="M106">
        <v>34</v>
      </c>
      <c r="N106">
        <v>8</v>
      </c>
      <c r="O106">
        <v>2</v>
      </c>
      <c r="P106">
        <v>23</v>
      </c>
      <c r="Q106" t="s">
        <v>668</v>
      </c>
      <c r="R106">
        <v>0</v>
      </c>
      <c r="S106">
        <v>0</v>
      </c>
      <c r="T106">
        <v>1</v>
      </c>
      <c r="U106">
        <v>0</v>
      </c>
      <c r="V106">
        <v>3.83</v>
      </c>
      <c r="W106">
        <v>63.88</v>
      </c>
      <c r="X106">
        <v>7</v>
      </c>
      <c r="Y106">
        <v>0</v>
      </c>
      <c r="Z106">
        <v>1</v>
      </c>
      <c r="AA106">
        <v>1</v>
      </c>
      <c r="AB106">
        <v>34</v>
      </c>
      <c r="AC106">
        <v>112</v>
      </c>
      <c r="AD106">
        <v>0</v>
      </c>
      <c r="AE106">
        <v>881</v>
      </c>
      <c r="AF106">
        <v>26</v>
      </c>
      <c r="AG106" t="s">
        <v>669</v>
      </c>
      <c r="AH106">
        <v>2</v>
      </c>
      <c r="AI106">
        <v>0</v>
      </c>
      <c r="AJ106">
        <v>33.880000000000003</v>
      </c>
      <c r="AK106">
        <v>7.86</v>
      </c>
      <c r="AL106">
        <v>25.84</v>
      </c>
      <c r="AM106">
        <v>34</v>
      </c>
    </row>
    <row r="107" spans="1:39" x14ac:dyDescent="0.3">
      <c r="A107" t="s">
        <v>670</v>
      </c>
      <c r="B107" t="s">
        <v>602</v>
      </c>
      <c r="C107" t="s">
        <v>671</v>
      </c>
      <c r="D107" t="s">
        <v>63</v>
      </c>
      <c r="E107">
        <v>1.5</v>
      </c>
      <c r="F107" t="s">
        <v>672</v>
      </c>
      <c r="G107" t="s">
        <v>673</v>
      </c>
      <c r="H107" t="s">
        <v>674</v>
      </c>
      <c r="I107" t="s">
        <v>56</v>
      </c>
      <c r="J107" t="s">
        <v>47</v>
      </c>
      <c r="K107" t="s">
        <v>247</v>
      </c>
      <c r="L107" t="s">
        <v>58</v>
      </c>
      <c r="M107">
        <v>5</v>
      </c>
      <c r="N107">
        <v>3</v>
      </c>
      <c r="O107">
        <v>0</v>
      </c>
      <c r="P107">
        <v>8</v>
      </c>
      <c r="Q107" t="s">
        <v>675</v>
      </c>
      <c r="R107">
        <v>0</v>
      </c>
      <c r="S107">
        <v>0</v>
      </c>
      <c r="T107">
        <v>0</v>
      </c>
      <c r="U107">
        <v>1</v>
      </c>
      <c r="V107">
        <v>2.66</v>
      </c>
      <c r="W107">
        <v>72.72</v>
      </c>
      <c r="X107">
        <v>1</v>
      </c>
      <c r="Y107">
        <v>0</v>
      </c>
      <c r="Z107">
        <v>1</v>
      </c>
      <c r="AA107">
        <v>0</v>
      </c>
      <c r="AB107">
        <v>5</v>
      </c>
      <c r="AC107">
        <v>17.5</v>
      </c>
      <c r="AD107">
        <v>0</v>
      </c>
      <c r="AE107">
        <v>153</v>
      </c>
      <c r="AF107">
        <v>5</v>
      </c>
      <c r="AG107" t="s">
        <v>676</v>
      </c>
      <c r="AH107">
        <v>0</v>
      </c>
      <c r="AI107">
        <v>0</v>
      </c>
      <c r="AJ107">
        <v>30.6</v>
      </c>
      <c r="AK107">
        <v>8.57</v>
      </c>
      <c r="AL107">
        <v>21.4</v>
      </c>
      <c r="AM107">
        <v>5</v>
      </c>
    </row>
    <row r="108" spans="1:39" x14ac:dyDescent="0.3">
      <c r="A108" t="s">
        <v>677</v>
      </c>
      <c r="B108" t="s">
        <v>602</v>
      </c>
      <c r="C108" t="s">
        <v>678</v>
      </c>
      <c r="D108" t="s">
        <v>63</v>
      </c>
      <c r="E108">
        <v>1.3</v>
      </c>
      <c r="F108" t="s">
        <v>679</v>
      </c>
      <c r="G108" t="s">
        <v>680</v>
      </c>
      <c r="H108" t="s">
        <v>681</v>
      </c>
      <c r="I108" t="s">
        <v>46</v>
      </c>
      <c r="J108" t="s">
        <v>47</v>
      </c>
      <c r="K108" t="s">
        <v>267</v>
      </c>
      <c r="L108" t="s">
        <v>58</v>
      </c>
      <c r="M108">
        <v>86</v>
      </c>
      <c r="N108">
        <v>21</v>
      </c>
      <c r="O108">
        <v>12</v>
      </c>
      <c r="P108">
        <v>105</v>
      </c>
      <c r="Q108" t="s">
        <v>682</v>
      </c>
      <c r="R108">
        <v>0</v>
      </c>
      <c r="S108">
        <v>0</v>
      </c>
      <c r="T108">
        <v>9</v>
      </c>
      <c r="U108">
        <v>3</v>
      </c>
      <c r="V108">
        <v>11.66</v>
      </c>
      <c r="W108">
        <v>109.37</v>
      </c>
      <c r="X108">
        <v>24</v>
      </c>
      <c r="Y108">
        <v>0</v>
      </c>
      <c r="Z108">
        <v>8</v>
      </c>
      <c r="AA108">
        <v>1</v>
      </c>
      <c r="AB108">
        <v>85</v>
      </c>
      <c r="AC108">
        <v>296</v>
      </c>
      <c r="AD108">
        <v>3</v>
      </c>
      <c r="AE108">
        <v>2588</v>
      </c>
      <c r="AF108">
        <v>85</v>
      </c>
      <c r="AG108" t="s">
        <v>683</v>
      </c>
      <c r="AH108">
        <v>5</v>
      </c>
      <c r="AI108">
        <v>2</v>
      </c>
      <c r="AJ108">
        <v>30.44</v>
      </c>
      <c r="AK108">
        <v>8.74</v>
      </c>
      <c r="AL108">
        <v>20.89</v>
      </c>
      <c r="AM108">
        <v>85</v>
      </c>
    </row>
    <row r="109" spans="1:39" x14ac:dyDescent="0.3">
      <c r="A109" t="s">
        <v>684</v>
      </c>
      <c r="B109" t="s">
        <v>602</v>
      </c>
      <c r="C109" t="s">
        <v>685</v>
      </c>
      <c r="D109" t="s">
        <v>63</v>
      </c>
      <c r="E109">
        <v>1</v>
      </c>
      <c r="F109" t="s">
        <v>686</v>
      </c>
      <c r="G109" t="s">
        <v>687</v>
      </c>
      <c r="H109" t="s">
        <v>688</v>
      </c>
      <c r="I109" t="s">
        <v>135</v>
      </c>
      <c r="J109" t="s">
        <v>47</v>
      </c>
      <c r="K109" t="s">
        <v>68</v>
      </c>
      <c r="L109" t="s">
        <v>58</v>
      </c>
      <c r="M109">
        <v>5</v>
      </c>
      <c r="N109">
        <v>1</v>
      </c>
      <c r="O109">
        <v>1</v>
      </c>
      <c r="P109">
        <v>0</v>
      </c>
      <c r="Q109" t="s">
        <v>689</v>
      </c>
      <c r="R109">
        <v>0</v>
      </c>
      <c r="S109">
        <v>0</v>
      </c>
      <c r="T109">
        <v>0</v>
      </c>
      <c r="U109">
        <v>0</v>
      </c>
      <c r="W109">
        <v>0</v>
      </c>
      <c r="Z109">
        <v>1</v>
      </c>
      <c r="AA109">
        <v>0</v>
      </c>
      <c r="AB109">
        <v>5</v>
      </c>
      <c r="AC109">
        <v>17</v>
      </c>
      <c r="AD109">
        <v>0</v>
      </c>
      <c r="AE109">
        <v>169</v>
      </c>
      <c r="AF109">
        <v>4</v>
      </c>
      <c r="AG109" t="s">
        <v>690</v>
      </c>
      <c r="AH109">
        <v>0</v>
      </c>
      <c r="AI109">
        <v>0</v>
      </c>
      <c r="AJ109">
        <v>42.25</v>
      </c>
      <c r="AK109">
        <v>9.94</v>
      </c>
      <c r="AL109">
        <v>25.5</v>
      </c>
      <c r="AM109">
        <v>5</v>
      </c>
    </row>
    <row r="110" spans="1:39" x14ac:dyDescent="0.3">
      <c r="A110" t="s">
        <v>691</v>
      </c>
      <c r="B110" t="s">
        <v>602</v>
      </c>
      <c r="C110" t="s">
        <v>692</v>
      </c>
      <c r="D110" t="s">
        <v>52</v>
      </c>
      <c r="E110">
        <v>0.75</v>
      </c>
      <c r="F110" t="s">
        <v>693</v>
      </c>
      <c r="G110" t="s">
        <v>694</v>
      </c>
      <c r="H110" t="s">
        <v>695</v>
      </c>
      <c r="I110" t="s">
        <v>96</v>
      </c>
      <c r="J110" t="s">
        <v>47</v>
      </c>
      <c r="K110" t="s">
        <v>116</v>
      </c>
      <c r="L110" t="s">
        <v>58</v>
      </c>
      <c r="M110">
        <v>4</v>
      </c>
      <c r="N110">
        <v>3</v>
      </c>
      <c r="O110">
        <v>2</v>
      </c>
      <c r="P110">
        <v>6</v>
      </c>
      <c r="Q110" t="s">
        <v>675</v>
      </c>
      <c r="R110">
        <v>0</v>
      </c>
      <c r="S110">
        <v>0</v>
      </c>
      <c r="T110">
        <v>0</v>
      </c>
      <c r="U110">
        <v>0</v>
      </c>
      <c r="V110">
        <v>6</v>
      </c>
      <c r="W110">
        <v>50</v>
      </c>
      <c r="X110">
        <v>2</v>
      </c>
      <c r="Y110">
        <v>0</v>
      </c>
      <c r="Z110">
        <v>2</v>
      </c>
      <c r="AA110">
        <v>0</v>
      </c>
      <c r="AB110">
        <v>3</v>
      </c>
      <c r="AC110">
        <v>11</v>
      </c>
      <c r="AD110">
        <v>1</v>
      </c>
      <c r="AE110">
        <v>90</v>
      </c>
      <c r="AF110">
        <v>1</v>
      </c>
      <c r="AG110" t="s">
        <v>556</v>
      </c>
      <c r="AH110">
        <v>0</v>
      </c>
      <c r="AI110">
        <v>0</v>
      </c>
      <c r="AJ110">
        <v>90</v>
      </c>
      <c r="AK110">
        <v>8.18</v>
      </c>
      <c r="AL110">
        <v>66</v>
      </c>
      <c r="AM110">
        <v>3</v>
      </c>
    </row>
    <row r="111" spans="1:39" x14ac:dyDescent="0.3">
      <c r="A111" t="s">
        <v>696</v>
      </c>
      <c r="B111" t="s">
        <v>602</v>
      </c>
      <c r="C111" t="s">
        <v>697</v>
      </c>
      <c r="D111" t="s">
        <v>63</v>
      </c>
      <c r="E111">
        <v>0.65</v>
      </c>
      <c r="F111" t="s">
        <v>696</v>
      </c>
      <c r="G111" t="s">
        <v>698</v>
      </c>
      <c r="H111" t="s">
        <v>699</v>
      </c>
      <c r="I111" t="s">
        <v>46</v>
      </c>
      <c r="J111" t="s">
        <v>47</v>
      </c>
      <c r="K111" t="s">
        <v>57</v>
      </c>
      <c r="L111" t="s">
        <v>58</v>
      </c>
      <c r="M111">
        <v>18</v>
      </c>
      <c r="N111">
        <v>8</v>
      </c>
      <c r="O111">
        <v>5</v>
      </c>
      <c r="P111">
        <v>27</v>
      </c>
      <c r="Q111" t="s">
        <v>700</v>
      </c>
      <c r="R111">
        <v>0</v>
      </c>
      <c r="S111">
        <v>0</v>
      </c>
      <c r="T111">
        <v>3</v>
      </c>
      <c r="U111">
        <v>0</v>
      </c>
      <c r="V111">
        <v>9</v>
      </c>
      <c r="W111">
        <v>93.1</v>
      </c>
      <c r="X111">
        <v>3</v>
      </c>
      <c r="Y111">
        <v>0</v>
      </c>
      <c r="Z111">
        <v>2</v>
      </c>
      <c r="AA111">
        <v>0</v>
      </c>
      <c r="AB111">
        <v>18</v>
      </c>
      <c r="AC111">
        <v>53</v>
      </c>
      <c r="AD111">
        <v>0</v>
      </c>
      <c r="AE111">
        <v>453</v>
      </c>
      <c r="AF111">
        <v>16</v>
      </c>
      <c r="AG111" t="s">
        <v>701</v>
      </c>
      <c r="AH111">
        <v>1</v>
      </c>
      <c r="AI111">
        <v>0</v>
      </c>
      <c r="AJ111">
        <v>28.31</v>
      </c>
      <c r="AK111">
        <v>8.5399999999999991</v>
      </c>
      <c r="AL111">
        <v>19.87</v>
      </c>
      <c r="AM111">
        <v>18</v>
      </c>
    </row>
    <row r="112" spans="1:39" x14ac:dyDescent="0.3">
      <c r="A112" t="s">
        <v>702</v>
      </c>
      <c r="B112" t="s">
        <v>602</v>
      </c>
      <c r="C112" t="s">
        <v>703</v>
      </c>
      <c r="D112" t="s">
        <v>52</v>
      </c>
      <c r="E112">
        <v>0.5</v>
      </c>
      <c r="F112" t="s">
        <v>704</v>
      </c>
      <c r="G112" t="s">
        <v>705</v>
      </c>
      <c r="H112" t="s">
        <v>706</v>
      </c>
      <c r="I112" t="s">
        <v>46</v>
      </c>
      <c r="J112" t="s">
        <v>67</v>
      </c>
      <c r="K112" t="s">
        <v>116</v>
      </c>
    </row>
    <row r="113" spans="1:39" x14ac:dyDescent="0.3">
      <c r="A113" t="s">
        <v>707</v>
      </c>
      <c r="B113" t="s">
        <v>602</v>
      </c>
      <c r="C113" t="s">
        <v>708</v>
      </c>
      <c r="D113" t="s">
        <v>63</v>
      </c>
      <c r="E113">
        <v>0.3</v>
      </c>
      <c r="F113" t="s">
        <v>707</v>
      </c>
      <c r="G113" t="s">
        <v>709</v>
      </c>
      <c r="H113" t="s">
        <v>710</v>
      </c>
      <c r="I113" t="s">
        <v>46</v>
      </c>
      <c r="J113" t="s">
        <v>47</v>
      </c>
      <c r="K113" t="s">
        <v>124</v>
      </c>
      <c r="L113" t="s">
        <v>58</v>
      </c>
      <c r="M113">
        <v>20</v>
      </c>
      <c r="N113">
        <v>8</v>
      </c>
      <c r="O113">
        <v>7</v>
      </c>
      <c r="P113">
        <v>32</v>
      </c>
      <c r="Q113" t="s">
        <v>711</v>
      </c>
      <c r="R113">
        <v>0</v>
      </c>
      <c r="S113">
        <v>0</v>
      </c>
      <c r="T113">
        <v>1</v>
      </c>
      <c r="U113">
        <v>1</v>
      </c>
      <c r="V113">
        <v>32</v>
      </c>
      <c r="W113">
        <v>91.42</v>
      </c>
      <c r="X113">
        <v>4</v>
      </c>
      <c r="Y113">
        <v>0</v>
      </c>
      <c r="Z113">
        <v>2</v>
      </c>
      <c r="AA113">
        <v>0</v>
      </c>
      <c r="AB113">
        <v>20</v>
      </c>
      <c r="AC113">
        <v>70.5</v>
      </c>
      <c r="AD113">
        <v>0</v>
      </c>
      <c r="AE113">
        <v>694</v>
      </c>
      <c r="AF113">
        <v>17</v>
      </c>
      <c r="AG113" t="s">
        <v>712</v>
      </c>
      <c r="AH113">
        <v>1</v>
      </c>
      <c r="AI113">
        <v>0</v>
      </c>
      <c r="AJ113">
        <v>40.82</v>
      </c>
      <c r="AK113">
        <v>9.7899999999999991</v>
      </c>
      <c r="AL113">
        <v>25</v>
      </c>
      <c r="AM113">
        <v>20</v>
      </c>
    </row>
    <row r="114" spans="1:39" x14ac:dyDescent="0.3">
      <c r="A114" t="s">
        <v>713</v>
      </c>
      <c r="B114" t="s">
        <v>602</v>
      </c>
      <c r="C114" t="s">
        <v>714</v>
      </c>
      <c r="D114" t="s">
        <v>52</v>
      </c>
      <c r="E114">
        <v>0.3</v>
      </c>
      <c r="F114" t="s">
        <v>715</v>
      </c>
      <c r="G114" t="s">
        <v>716</v>
      </c>
      <c r="H114" t="s">
        <v>717</v>
      </c>
      <c r="I114" t="s">
        <v>46</v>
      </c>
      <c r="J114" t="s">
        <v>67</v>
      </c>
      <c r="K114" t="s">
        <v>109</v>
      </c>
    </row>
    <row r="115" spans="1:39" x14ac:dyDescent="0.3">
      <c r="A115" t="s">
        <v>718</v>
      </c>
      <c r="B115" t="s">
        <v>602</v>
      </c>
      <c r="C115" t="s">
        <v>719</v>
      </c>
      <c r="D115" t="s">
        <v>52</v>
      </c>
      <c r="E115">
        <v>0.2</v>
      </c>
      <c r="F115" t="s">
        <v>718</v>
      </c>
      <c r="G115" t="s">
        <v>720</v>
      </c>
      <c r="H115" t="s">
        <v>721</v>
      </c>
      <c r="I115" t="s">
        <v>46</v>
      </c>
      <c r="J115" t="s">
        <v>47</v>
      </c>
      <c r="K115" t="s">
        <v>89</v>
      </c>
    </row>
    <row r="116" spans="1:39" x14ac:dyDescent="0.3">
      <c r="A116" t="s">
        <v>722</v>
      </c>
      <c r="B116" t="s">
        <v>602</v>
      </c>
      <c r="C116" t="s">
        <v>723</v>
      </c>
      <c r="D116" t="s">
        <v>42</v>
      </c>
      <c r="E116">
        <v>0.2</v>
      </c>
      <c r="F116" t="s">
        <v>722</v>
      </c>
      <c r="G116" t="s">
        <v>724</v>
      </c>
      <c r="H116" t="s">
        <v>725</v>
      </c>
      <c r="I116" t="s">
        <v>46</v>
      </c>
      <c r="J116" t="s">
        <v>47</v>
      </c>
      <c r="K116" t="s">
        <v>48</v>
      </c>
      <c r="M116">
        <v>1</v>
      </c>
      <c r="N116">
        <v>1</v>
      </c>
      <c r="O116">
        <v>0</v>
      </c>
      <c r="P116">
        <v>16</v>
      </c>
      <c r="Q116" t="s">
        <v>726</v>
      </c>
      <c r="R116">
        <v>0</v>
      </c>
      <c r="S116">
        <v>0</v>
      </c>
      <c r="T116">
        <v>2</v>
      </c>
      <c r="U116">
        <v>1</v>
      </c>
      <c r="V116">
        <v>16</v>
      </c>
      <c r="W116">
        <v>114.28</v>
      </c>
      <c r="Z116">
        <v>0</v>
      </c>
      <c r="AA116">
        <v>0</v>
      </c>
    </row>
    <row r="117" spans="1:39" x14ac:dyDescent="0.3">
      <c r="A117" t="s">
        <v>727</v>
      </c>
      <c r="B117" t="s">
        <v>602</v>
      </c>
      <c r="C117" t="s">
        <v>728</v>
      </c>
      <c r="D117" t="s">
        <v>85</v>
      </c>
      <c r="E117">
        <v>0.2</v>
      </c>
      <c r="F117" t="s">
        <v>727</v>
      </c>
      <c r="G117" t="s">
        <v>729</v>
      </c>
      <c r="H117" t="s">
        <v>730</v>
      </c>
      <c r="I117" t="s">
        <v>46</v>
      </c>
      <c r="J117" t="s">
        <v>47</v>
      </c>
    </row>
    <row r="118" spans="1:39" x14ac:dyDescent="0.3">
      <c r="A118" t="s">
        <v>731</v>
      </c>
      <c r="B118" t="s">
        <v>602</v>
      </c>
      <c r="C118" t="s">
        <v>732</v>
      </c>
      <c r="D118" t="s">
        <v>52</v>
      </c>
      <c r="E118">
        <v>0.2</v>
      </c>
      <c r="F118" t="s">
        <v>733</v>
      </c>
      <c r="G118" t="s">
        <v>734</v>
      </c>
      <c r="H118" t="s">
        <v>735</v>
      </c>
      <c r="I118" t="s">
        <v>46</v>
      </c>
      <c r="J118" t="s">
        <v>67</v>
      </c>
      <c r="K118" t="s">
        <v>267</v>
      </c>
    </row>
    <row r="119" spans="1:39" x14ac:dyDescent="0.3">
      <c r="A119" t="s">
        <v>736</v>
      </c>
      <c r="B119" t="s">
        <v>602</v>
      </c>
      <c r="C119" t="s">
        <v>737</v>
      </c>
      <c r="D119" t="s">
        <v>42</v>
      </c>
      <c r="E119">
        <v>0.2</v>
      </c>
      <c r="F119" t="s">
        <v>738</v>
      </c>
      <c r="G119" t="s">
        <v>739</v>
      </c>
      <c r="H119" t="s">
        <v>740</v>
      </c>
      <c r="I119" t="s">
        <v>46</v>
      </c>
      <c r="J119" t="s">
        <v>67</v>
      </c>
      <c r="K119" t="s">
        <v>48</v>
      </c>
    </row>
    <row r="120" spans="1:39" x14ac:dyDescent="0.3">
      <c r="A120" t="s">
        <v>741</v>
      </c>
      <c r="B120" t="s">
        <v>602</v>
      </c>
      <c r="C120" t="s">
        <v>742</v>
      </c>
      <c r="D120" t="s">
        <v>52</v>
      </c>
      <c r="E120">
        <v>0.2</v>
      </c>
      <c r="F120" t="s">
        <v>743</v>
      </c>
      <c r="G120" t="s">
        <v>744</v>
      </c>
      <c r="H120" t="s">
        <v>745</v>
      </c>
      <c r="I120" t="s">
        <v>46</v>
      </c>
      <c r="J120" t="s">
        <v>47</v>
      </c>
      <c r="K120" t="s">
        <v>48</v>
      </c>
    </row>
    <row r="121" spans="1:39" x14ac:dyDescent="0.3">
      <c r="A121" t="s">
        <v>746</v>
      </c>
      <c r="B121" t="s">
        <v>747</v>
      </c>
      <c r="C121" t="s">
        <v>748</v>
      </c>
      <c r="D121" t="s">
        <v>52</v>
      </c>
      <c r="E121">
        <v>16</v>
      </c>
      <c r="F121" t="s">
        <v>749</v>
      </c>
      <c r="G121" t="s">
        <v>750</v>
      </c>
      <c r="H121" t="s">
        <v>751</v>
      </c>
      <c r="I121" t="s">
        <v>46</v>
      </c>
      <c r="J121" t="s">
        <v>67</v>
      </c>
      <c r="K121" t="s">
        <v>116</v>
      </c>
      <c r="L121" t="s">
        <v>58</v>
      </c>
      <c r="M121">
        <v>200</v>
      </c>
      <c r="N121">
        <v>151</v>
      </c>
      <c r="O121">
        <v>63</v>
      </c>
      <c r="P121">
        <v>2386</v>
      </c>
      <c r="Q121" t="s">
        <v>752</v>
      </c>
      <c r="R121">
        <v>0</v>
      </c>
      <c r="S121">
        <v>2</v>
      </c>
      <c r="T121">
        <v>176</v>
      </c>
      <c r="U121">
        <v>85</v>
      </c>
      <c r="V121">
        <v>27.11</v>
      </c>
      <c r="W121">
        <v>128.13999999999999</v>
      </c>
      <c r="X121">
        <v>81</v>
      </c>
      <c r="Y121">
        <v>0</v>
      </c>
      <c r="Z121">
        <v>10</v>
      </c>
      <c r="AA121">
        <v>5</v>
      </c>
      <c r="AB121">
        <v>171</v>
      </c>
      <c r="AC121">
        <v>501.1</v>
      </c>
      <c r="AD121">
        <v>2</v>
      </c>
      <c r="AE121">
        <v>3816</v>
      </c>
      <c r="AF121">
        <v>127</v>
      </c>
      <c r="AG121" t="s">
        <v>753</v>
      </c>
      <c r="AH121">
        <v>8</v>
      </c>
      <c r="AI121">
        <v>1</v>
      </c>
      <c r="AJ121">
        <v>30.04</v>
      </c>
      <c r="AK121">
        <v>7.61</v>
      </c>
      <c r="AL121">
        <v>23.67</v>
      </c>
      <c r="AM121">
        <v>171</v>
      </c>
    </row>
    <row r="122" spans="1:39" x14ac:dyDescent="0.3">
      <c r="A122" t="s">
        <v>754</v>
      </c>
      <c r="B122" t="s">
        <v>747</v>
      </c>
      <c r="C122" t="s">
        <v>755</v>
      </c>
      <c r="D122" t="s">
        <v>63</v>
      </c>
      <c r="E122">
        <v>14</v>
      </c>
      <c r="F122" t="s">
        <v>756</v>
      </c>
      <c r="G122" t="s">
        <v>757</v>
      </c>
      <c r="H122" t="s">
        <v>758</v>
      </c>
      <c r="I122" t="s">
        <v>46</v>
      </c>
      <c r="J122" t="s">
        <v>47</v>
      </c>
      <c r="K122" t="s">
        <v>89</v>
      </c>
      <c r="L122" t="s">
        <v>58</v>
      </c>
      <c r="M122">
        <v>63</v>
      </c>
      <c r="N122">
        <v>12</v>
      </c>
      <c r="O122">
        <v>5</v>
      </c>
      <c r="P122">
        <v>79</v>
      </c>
      <c r="Q122" t="s">
        <v>759</v>
      </c>
      <c r="R122">
        <v>0</v>
      </c>
      <c r="S122">
        <v>0</v>
      </c>
      <c r="T122">
        <v>2</v>
      </c>
      <c r="U122">
        <v>6</v>
      </c>
      <c r="V122">
        <v>11.28</v>
      </c>
      <c r="W122">
        <v>138.59</v>
      </c>
      <c r="X122">
        <v>12</v>
      </c>
      <c r="Y122">
        <v>0</v>
      </c>
      <c r="Z122">
        <v>4</v>
      </c>
      <c r="AA122">
        <v>0</v>
      </c>
      <c r="AB122">
        <v>63</v>
      </c>
      <c r="AC122">
        <v>220.4</v>
      </c>
      <c r="AD122">
        <v>6</v>
      </c>
      <c r="AE122">
        <v>1722</v>
      </c>
      <c r="AF122">
        <v>59</v>
      </c>
      <c r="AG122" t="s">
        <v>760</v>
      </c>
      <c r="AH122">
        <v>3</v>
      </c>
      <c r="AI122">
        <v>0</v>
      </c>
      <c r="AJ122">
        <v>29.18</v>
      </c>
      <c r="AK122">
        <v>7.8</v>
      </c>
      <c r="AL122">
        <v>22.44</v>
      </c>
      <c r="AM122">
        <v>63</v>
      </c>
    </row>
    <row r="123" spans="1:39" x14ac:dyDescent="0.3">
      <c r="A123" t="s">
        <v>761</v>
      </c>
      <c r="B123" t="s">
        <v>747</v>
      </c>
      <c r="C123" t="s">
        <v>762</v>
      </c>
      <c r="D123" t="s">
        <v>85</v>
      </c>
      <c r="E123">
        <v>12</v>
      </c>
      <c r="F123" t="s">
        <v>763</v>
      </c>
      <c r="G123" t="s">
        <v>764</v>
      </c>
      <c r="H123" t="s">
        <v>765</v>
      </c>
      <c r="I123" t="s">
        <v>46</v>
      </c>
      <c r="J123" t="s">
        <v>47</v>
      </c>
      <c r="K123" t="s">
        <v>89</v>
      </c>
      <c r="M123">
        <v>220</v>
      </c>
      <c r="N123">
        <v>193</v>
      </c>
      <c r="O123">
        <v>73</v>
      </c>
      <c r="P123">
        <v>4746</v>
      </c>
      <c r="Q123" t="s">
        <v>766</v>
      </c>
      <c r="R123">
        <v>0</v>
      </c>
      <c r="S123">
        <v>23</v>
      </c>
      <c r="T123">
        <v>325</v>
      </c>
      <c r="U123">
        <v>219</v>
      </c>
      <c r="V123">
        <v>39.549999999999997</v>
      </c>
      <c r="W123">
        <v>135.83000000000001</v>
      </c>
      <c r="X123">
        <v>126</v>
      </c>
      <c r="Y123">
        <v>39</v>
      </c>
      <c r="Z123">
        <v>5</v>
      </c>
      <c r="AA123">
        <v>9</v>
      </c>
    </row>
    <row r="124" spans="1:39" x14ac:dyDescent="0.3">
      <c r="A124" t="s">
        <v>767</v>
      </c>
      <c r="B124" t="s">
        <v>747</v>
      </c>
      <c r="C124" t="s">
        <v>768</v>
      </c>
      <c r="D124" t="s">
        <v>52</v>
      </c>
      <c r="E124">
        <v>8</v>
      </c>
      <c r="F124" t="s">
        <v>769</v>
      </c>
      <c r="G124" t="s">
        <v>770</v>
      </c>
      <c r="H124" t="s">
        <v>771</v>
      </c>
      <c r="I124" t="s">
        <v>56</v>
      </c>
      <c r="J124" t="s">
        <v>67</v>
      </c>
      <c r="K124" t="s">
        <v>48</v>
      </c>
      <c r="L124" t="s">
        <v>58</v>
      </c>
      <c r="M124">
        <v>34</v>
      </c>
      <c r="N124">
        <v>32</v>
      </c>
      <c r="O124">
        <v>3</v>
      </c>
      <c r="P124">
        <v>666</v>
      </c>
      <c r="Q124" t="s">
        <v>772</v>
      </c>
      <c r="R124">
        <v>0</v>
      </c>
      <c r="S124">
        <v>4</v>
      </c>
      <c r="T124">
        <v>52</v>
      </c>
      <c r="U124">
        <v>42</v>
      </c>
      <c r="V124">
        <v>22.96</v>
      </c>
      <c r="W124">
        <v>146.37</v>
      </c>
      <c r="X124">
        <v>11</v>
      </c>
      <c r="Y124">
        <v>0</v>
      </c>
      <c r="Z124">
        <v>4</v>
      </c>
      <c r="AA124">
        <v>3</v>
      </c>
      <c r="AB124">
        <v>27</v>
      </c>
      <c r="AC124">
        <v>68.3</v>
      </c>
      <c r="AD124">
        <v>0</v>
      </c>
      <c r="AE124">
        <v>469</v>
      </c>
      <c r="AF124">
        <v>16</v>
      </c>
      <c r="AG124" t="s">
        <v>773</v>
      </c>
      <c r="AH124">
        <v>1</v>
      </c>
      <c r="AI124">
        <v>0</v>
      </c>
      <c r="AJ124">
        <v>29.31</v>
      </c>
      <c r="AK124">
        <v>6.84</v>
      </c>
      <c r="AL124">
        <v>25.68</v>
      </c>
      <c r="AM124">
        <v>27</v>
      </c>
    </row>
    <row r="125" spans="1:39" x14ac:dyDescent="0.3">
      <c r="A125" t="s">
        <v>774</v>
      </c>
      <c r="B125" t="s">
        <v>747</v>
      </c>
      <c r="C125" t="s">
        <v>775</v>
      </c>
      <c r="D125" t="s">
        <v>85</v>
      </c>
      <c r="E125">
        <v>6.75</v>
      </c>
      <c r="F125" t="s">
        <v>776</v>
      </c>
      <c r="G125" t="s">
        <v>777</v>
      </c>
      <c r="H125" t="s">
        <v>778</v>
      </c>
      <c r="I125" t="s">
        <v>46</v>
      </c>
      <c r="J125" t="s">
        <v>47</v>
      </c>
      <c r="K125" t="s">
        <v>48</v>
      </c>
      <c r="M125">
        <v>175</v>
      </c>
      <c r="N125">
        <v>164</v>
      </c>
      <c r="O125">
        <v>31</v>
      </c>
      <c r="P125">
        <v>3916</v>
      </c>
      <c r="Q125" t="s">
        <v>779</v>
      </c>
      <c r="R125">
        <v>1</v>
      </c>
      <c r="S125">
        <v>21</v>
      </c>
      <c r="T125">
        <v>324</v>
      </c>
      <c r="U125">
        <v>149</v>
      </c>
      <c r="V125">
        <v>29.44</v>
      </c>
      <c r="W125">
        <v>127.47</v>
      </c>
      <c r="X125">
        <v>58</v>
      </c>
      <c r="Y125">
        <v>2</v>
      </c>
      <c r="Z125">
        <v>14</v>
      </c>
      <c r="AA125">
        <v>14</v>
      </c>
    </row>
    <row r="126" spans="1:39" x14ac:dyDescent="0.3">
      <c r="A126" t="s">
        <v>780</v>
      </c>
      <c r="B126" t="s">
        <v>747</v>
      </c>
      <c r="C126" t="s">
        <v>781</v>
      </c>
      <c r="D126" t="s">
        <v>42</v>
      </c>
      <c r="E126">
        <v>6</v>
      </c>
      <c r="F126" t="s">
        <v>782</v>
      </c>
      <c r="G126" t="s">
        <v>783</v>
      </c>
      <c r="H126" t="s">
        <v>784</v>
      </c>
      <c r="I126" t="s">
        <v>46</v>
      </c>
      <c r="J126" t="s">
        <v>47</v>
      </c>
      <c r="K126" t="s">
        <v>48</v>
      </c>
      <c r="M126">
        <v>22</v>
      </c>
      <c r="N126">
        <v>22</v>
      </c>
      <c r="O126">
        <v>4</v>
      </c>
      <c r="P126">
        <v>839</v>
      </c>
      <c r="Q126" t="s">
        <v>374</v>
      </c>
      <c r="R126">
        <v>1</v>
      </c>
      <c r="S126">
        <v>7</v>
      </c>
      <c r="T126">
        <v>80</v>
      </c>
      <c r="U126">
        <v>29</v>
      </c>
      <c r="V126">
        <v>46.61</v>
      </c>
      <c r="W126">
        <v>132.12</v>
      </c>
      <c r="X126">
        <v>10</v>
      </c>
      <c r="Y126">
        <v>0</v>
      </c>
      <c r="Z126">
        <v>2</v>
      </c>
      <c r="AA126">
        <v>1</v>
      </c>
    </row>
    <row r="127" spans="1:39" x14ac:dyDescent="0.3">
      <c r="A127" t="s">
        <v>785</v>
      </c>
      <c r="B127" t="s">
        <v>747</v>
      </c>
      <c r="C127" t="s">
        <v>786</v>
      </c>
      <c r="D127" t="s">
        <v>52</v>
      </c>
      <c r="E127">
        <v>4.4000000000000004</v>
      </c>
      <c r="F127" t="s">
        <v>787</v>
      </c>
      <c r="G127" t="s">
        <v>788</v>
      </c>
      <c r="H127" t="s">
        <v>789</v>
      </c>
      <c r="I127" t="s">
        <v>96</v>
      </c>
      <c r="J127" t="s">
        <v>47</v>
      </c>
      <c r="K127" t="s">
        <v>89</v>
      </c>
      <c r="L127" t="s">
        <v>58</v>
      </c>
      <c r="M127">
        <v>151</v>
      </c>
      <c r="N127">
        <v>107</v>
      </c>
      <c r="O127">
        <v>40</v>
      </c>
      <c r="P127">
        <v>1537</v>
      </c>
      <c r="Q127" t="s">
        <v>790</v>
      </c>
      <c r="R127">
        <v>0</v>
      </c>
      <c r="S127">
        <v>5</v>
      </c>
      <c r="T127">
        <v>119</v>
      </c>
      <c r="U127">
        <v>65</v>
      </c>
      <c r="V127">
        <v>22.94</v>
      </c>
      <c r="W127">
        <v>130.25</v>
      </c>
      <c r="X127">
        <v>77</v>
      </c>
      <c r="Y127">
        <v>0</v>
      </c>
      <c r="Z127">
        <v>8</v>
      </c>
      <c r="AA127">
        <v>2</v>
      </c>
      <c r="AB127">
        <v>148</v>
      </c>
      <c r="AC127">
        <v>485.3</v>
      </c>
      <c r="AD127">
        <v>2</v>
      </c>
      <c r="AE127">
        <v>4061</v>
      </c>
      <c r="AF127">
        <v>167</v>
      </c>
      <c r="AG127" t="s">
        <v>791</v>
      </c>
      <c r="AH127">
        <v>12</v>
      </c>
      <c r="AI127">
        <v>0</v>
      </c>
      <c r="AJ127">
        <v>24.31</v>
      </c>
      <c r="AK127">
        <v>8.36</v>
      </c>
      <c r="AL127">
        <v>17.440000000000001</v>
      </c>
      <c r="AM127">
        <v>148</v>
      </c>
    </row>
    <row r="128" spans="1:39" x14ac:dyDescent="0.3">
      <c r="A128" t="s">
        <v>792</v>
      </c>
      <c r="B128" t="s">
        <v>747</v>
      </c>
      <c r="C128" t="s">
        <v>793</v>
      </c>
      <c r="D128" t="s">
        <v>52</v>
      </c>
      <c r="E128">
        <v>4</v>
      </c>
      <c r="F128" t="s">
        <v>792</v>
      </c>
      <c r="G128" t="s">
        <v>794</v>
      </c>
      <c r="H128" t="s">
        <v>795</v>
      </c>
      <c r="I128" t="s">
        <v>46</v>
      </c>
      <c r="J128" t="s">
        <v>67</v>
      </c>
      <c r="K128" t="s">
        <v>89</v>
      </c>
      <c r="L128" t="s">
        <v>58</v>
      </c>
      <c r="M128">
        <v>24</v>
      </c>
      <c r="N128">
        <v>22</v>
      </c>
      <c r="O128">
        <v>4</v>
      </c>
      <c r="P128">
        <v>399</v>
      </c>
      <c r="Q128" t="s">
        <v>796</v>
      </c>
      <c r="R128">
        <v>0</v>
      </c>
      <c r="S128">
        <v>1</v>
      </c>
      <c r="T128">
        <v>24</v>
      </c>
      <c r="U128">
        <v>22</v>
      </c>
      <c r="V128">
        <v>22.16</v>
      </c>
      <c r="W128">
        <v>120.54</v>
      </c>
      <c r="X128">
        <v>5</v>
      </c>
      <c r="Y128">
        <v>0</v>
      </c>
      <c r="Z128">
        <v>0</v>
      </c>
      <c r="AA128">
        <v>1</v>
      </c>
      <c r="AB128">
        <v>11</v>
      </c>
      <c r="AC128">
        <v>15.4</v>
      </c>
      <c r="AD128">
        <v>0</v>
      </c>
      <c r="AE128">
        <v>130</v>
      </c>
      <c r="AF128">
        <v>4</v>
      </c>
      <c r="AG128" t="s">
        <v>797</v>
      </c>
      <c r="AH128">
        <v>0</v>
      </c>
      <c r="AI128">
        <v>0</v>
      </c>
      <c r="AJ128">
        <v>32.5</v>
      </c>
      <c r="AK128">
        <v>8.2899999999999991</v>
      </c>
      <c r="AL128">
        <v>23.5</v>
      </c>
      <c r="AM128">
        <v>11</v>
      </c>
    </row>
    <row r="129" spans="1:39" x14ac:dyDescent="0.3">
      <c r="A129" t="s">
        <v>798</v>
      </c>
      <c r="B129" t="s">
        <v>747</v>
      </c>
      <c r="C129" t="s">
        <v>799</v>
      </c>
      <c r="D129" t="s">
        <v>52</v>
      </c>
      <c r="E129">
        <v>3.6</v>
      </c>
      <c r="F129" t="s">
        <v>800</v>
      </c>
      <c r="G129" t="s">
        <v>801</v>
      </c>
      <c r="H129" t="s">
        <v>802</v>
      </c>
      <c r="I129" t="s">
        <v>56</v>
      </c>
      <c r="J129" t="s">
        <v>47</v>
      </c>
      <c r="K129" t="s">
        <v>124</v>
      </c>
      <c r="L129" t="s">
        <v>58</v>
      </c>
      <c r="M129">
        <v>24</v>
      </c>
      <c r="N129">
        <v>9</v>
      </c>
      <c r="O129">
        <v>2</v>
      </c>
      <c r="P129">
        <v>64</v>
      </c>
      <c r="Q129" t="s">
        <v>803</v>
      </c>
      <c r="R129">
        <v>0</v>
      </c>
      <c r="S129">
        <v>0</v>
      </c>
      <c r="T129">
        <v>3</v>
      </c>
      <c r="U129">
        <v>3</v>
      </c>
      <c r="V129">
        <v>9.14</v>
      </c>
      <c r="W129">
        <v>112.28</v>
      </c>
      <c r="X129">
        <v>9</v>
      </c>
      <c r="Y129">
        <v>0</v>
      </c>
      <c r="Z129">
        <v>2</v>
      </c>
      <c r="AA129">
        <v>2</v>
      </c>
      <c r="AB129">
        <v>24</v>
      </c>
      <c r="AC129">
        <v>76.3</v>
      </c>
      <c r="AD129">
        <v>0</v>
      </c>
      <c r="AE129">
        <v>698</v>
      </c>
      <c r="AF129">
        <v>25</v>
      </c>
      <c r="AG129" t="s">
        <v>804</v>
      </c>
      <c r="AH129">
        <v>2</v>
      </c>
      <c r="AI129">
        <v>0</v>
      </c>
      <c r="AJ129">
        <v>27.92</v>
      </c>
      <c r="AK129">
        <v>9.1199999999999992</v>
      </c>
      <c r="AL129">
        <v>18.36</v>
      </c>
      <c r="AM129">
        <v>24</v>
      </c>
    </row>
    <row r="130" spans="1:39" x14ac:dyDescent="0.3">
      <c r="A130" t="s">
        <v>805</v>
      </c>
      <c r="B130" t="s">
        <v>747</v>
      </c>
      <c r="C130" t="s">
        <v>806</v>
      </c>
      <c r="D130" t="s">
        <v>42</v>
      </c>
      <c r="E130">
        <v>2</v>
      </c>
      <c r="F130" t="s">
        <v>807</v>
      </c>
      <c r="G130" t="s">
        <v>808</v>
      </c>
      <c r="H130" t="s">
        <v>809</v>
      </c>
      <c r="I130" t="s">
        <v>46</v>
      </c>
      <c r="J130" t="s">
        <v>47</v>
      </c>
      <c r="K130" t="s">
        <v>89</v>
      </c>
      <c r="M130">
        <v>193</v>
      </c>
      <c r="N130">
        <v>186</v>
      </c>
      <c r="O130">
        <v>17</v>
      </c>
      <c r="P130">
        <v>4722</v>
      </c>
      <c r="Q130" t="s">
        <v>810</v>
      </c>
      <c r="R130">
        <v>0</v>
      </c>
      <c r="S130">
        <v>25</v>
      </c>
      <c r="T130">
        <v>462</v>
      </c>
      <c r="U130">
        <v>168</v>
      </c>
      <c r="V130">
        <v>27.94</v>
      </c>
      <c r="W130">
        <v>130.15</v>
      </c>
      <c r="X130">
        <v>87</v>
      </c>
      <c r="Y130">
        <v>32</v>
      </c>
      <c r="Z130">
        <v>7</v>
      </c>
      <c r="AA130">
        <v>9</v>
      </c>
    </row>
    <row r="131" spans="1:39" x14ac:dyDescent="0.3">
      <c r="A131" t="s">
        <v>811</v>
      </c>
      <c r="B131" t="s">
        <v>747</v>
      </c>
      <c r="C131" t="s">
        <v>812</v>
      </c>
      <c r="D131" t="s">
        <v>52</v>
      </c>
      <c r="E131">
        <v>1.9</v>
      </c>
      <c r="F131" t="s">
        <v>813</v>
      </c>
      <c r="G131" t="s">
        <v>814</v>
      </c>
      <c r="H131" t="s">
        <v>815</v>
      </c>
      <c r="I131" t="s">
        <v>205</v>
      </c>
      <c r="J131" t="s">
        <v>67</v>
      </c>
      <c r="K131" t="s">
        <v>116</v>
      </c>
      <c r="L131" t="s">
        <v>58</v>
      </c>
      <c r="M131">
        <v>6</v>
      </c>
      <c r="N131">
        <v>2</v>
      </c>
      <c r="O131">
        <v>1</v>
      </c>
      <c r="P131">
        <v>32</v>
      </c>
      <c r="Q131" t="s">
        <v>816</v>
      </c>
      <c r="R131">
        <v>0</v>
      </c>
      <c r="S131">
        <v>0</v>
      </c>
      <c r="T131">
        <v>0</v>
      </c>
      <c r="U131">
        <v>3</v>
      </c>
      <c r="V131">
        <v>32</v>
      </c>
      <c r="W131">
        <v>139.13</v>
      </c>
      <c r="X131">
        <v>2</v>
      </c>
      <c r="Y131">
        <v>0</v>
      </c>
      <c r="Z131">
        <v>0</v>
      </c>
      <c r="AA131">
        <v>0</v>
      </c>
      <c r="AB131">
        <v>6</v>
      </c>
      <c r="AC131">
        <v>21</v>
      </c>
      <c r="AD131">
        <v>0</v>
      </c>
      <c r="AE131">
        <v>147</v>
      </c>
      <c r="AF131">
        <v>6</v>
      </c>
      <c r="AG131" t="s">
        <v>817</v>
      </c>
      <c r="AH131">
        <v>0</v>
      </c>
      <c r="AI131">
        <v>0</v>
      </c>
      <c r="AJ131">
        <v>24.5</v>
      </c>
      <c r="AK131">
        <v>7</v>
      </c>
      <c r="AL131">
        <v>21</v>
      </c>
      <c r="AM131">
        <v>6</v>
      </c>
    </row>
    <row r="132" spans="1:39" x14ac:dyDescent="0.3">
      <c r="A132" t="s">
        <v>818</v>
      </c>
      <c r="B132" t="s">
        <v>747</v>
      </c>
      <c r="C132" t="s">
        <v>819</v>
      </c>
      <c r="D132" t="s">
        <v>63</v>
      </c>
      <c r="E132">
        <v>1.9</v>
      </c>
      <c r="F132" t="s">
        <v>820</v>
      </c>
      <c r="G132" t="s">
        <v>821</v>
      </c>
      <c r="H132" t="s">
        <v>822</v>
      </c>
      <c r="I132" t="s">
        <v>205</v>
      </c>
      <c r="J132" t="s">
        <v>47</v>
      </c>
      <c r="K132" t="s">
        <v>68</v>
      </c>
      <c r="L132" t="s">
        <v>58</v>
      </c>
      <c r="M132">
        <v>9</v>
      </c>
      <c r="N132">
        <v>6</v>
      </c>
      <c r="O132">
        <v>2</v>
      </c>
      <c r="P132">
        <v>23</v>
      </c>
      <c r="Q132" t="s">
        <v>823</v>
      </c>
      <c r="R132">
        <v>0</v>
      </c>
      <c r="S132">
        <v>0</v>
      </c>
      <c r="T132">
        <v>0</v>
      </c>
      <c r="U132">
        <v>1</v>
      </c>
      <c r="V132">
        <v>5.75</v>
      </c>
      <c r="W132">
        <v>79.31</v>
      </c>
      <c r="X132">
        <v>7</v>
      </c>
      <c r="Y132">
        <v>0</v>
      </c>
      <c r="Z132">
        <v>2</v>
      </c>
      <c r="AA132">
        <v>0</v>
      </c>
      <c r="AB132">
        <v>9</v>
      </c>
      <c r="AC132">
        <v>32</v>
      </c>
      <c r="AD132">
        <v>0</v>
      </c>
      <c r="AE132">
        <v>308</v>
      </c>
      <c r="AF132">
        <v>7</v>
      </c>
      <c r="AG132" t="s">
        <v>824</v>
      </c>
      <c r="AH132">
        <v>0</v>
      </c>
      <c r="AI132">
        <v>0</v>
      </c>
      <c r="AJ132">
        <v>44</v>
      </c>
      <c r="AK132">
        <v>9.6199999999999992</v>
      </c>
      <c r="AL132">
        <v>27.42</v>
      </c>
      <c r="AM132">
        <v>9</v>
      </c>
    </row>
    <row r="133" spans="1:39" x14ac:dyDescent="0.3">
      <c r="A133" t="s">
        <v>825</v>
      </c>
      <c r="B133" t="s">
        <v>747</v>
      </c>
      <c r="C133" t="s">
        <v>826</v>
      </c>
      <c r="D133" t="s">
        <v>52</v>
      </c>
      <c r="E133">
        <v>1.5</v>
      </c>
      <c r="F133" t="s">
        <v>827</v>
      </c>
      <c r="G133" t="s">
        <v>828</v>
      </c>
      <c r="H133" t="s">
        <v>829</v>
      </c>
      <c r="I133" t="s">
        <v>46</v>
      </c>
      <c r="J133" t="s">
        <v>47</v>
      </c>
      <c r="K133" t="s">
        <v>89</v>
      </c>
    </row>
    <row r="134" spans="1:39" x14ac:dyDescent="0.3">
      <c r="A134" t="s">
        <v>830</v>
      </c>
      <c r="B134" t="s">
        <v>747</v>
      </c>
      <c r="C134" t="s">
        <v>831</v>
      </c>
      <c r="D134" t="s">
        <v>63</v>
      </c>
      <c r="E134">
        <v>1.2</v>
      </c>
      <c r="F134" t="s">
        <v>832</v>
      </c>
      <c r="G134" s="1">
        <v>36578</v>
      </c>
      <c r="H134" t="s">
        <v>833</v>
      </c>
      <c r="I134" t="s">
        <v>46</v>
      </c>
      <c r="J134" t="s">
        <v>47</v>
      </c>
      <c r="K134" t="s">
        <v>57</v>
      </c>
    </row>
    <row r="135" spans="1:39" x14ac:dyDescent="0.3">
      <c r="A135" t="s">
        <v>834</v>
      </c>
      <c r="B135" t="s">
        <v>747</v>
      </c>
      <c r="C135" t="s">
        <v>835</v>
      </c>
      <c r="D135" t="s">
        <v>42</v>
      </c>
      <c r="E135">
        <v>1</v>
      </c>
      <c r="F135" t="s">
        <v>836</v>
      </c>
      <c r="G135" t="s">
        <v>837</v>
      </c>
      <c r="H135" t="s">
        <v>838</v>
      </c>
      <c r="I135" t="s">
        <v>66</v>
      </c>
      <c r="J135" t="s">
        <v>67</v>
      </c>
      <c r="K135" t="s">
        <v>89</v>
      </c>
    </row>
    <row r="136" spans="1:39" x14ac:dyDescent="0.3">
      <c r="A136" t="s">
        <v>839</v>
      </c>
      <c r="B136" t="s">
        <v>747</v>
      </c>
      <c r="C136" t="s">
        <v>840</v>
      </c>
      <c r="D136" t="s">
        <v>63</v>
      </c>
      <c r="E136">
        <v>0.7</v>
      </c>
      <c r="F136" t="s">
        <v>841</v>
      </c>
      <c r="G136" t="s">
        <v>842</v>
      </c>
      <c r="H136" t="s">
        <v>843</v>
      </c>
      <c r="I136" t="s">
        <v>152</v>
      </c>
      <c r="J136" t="s">
        <v>47</v>
      </c>
      <c r="K136" t="s">
        <v>48</v>
      </c>
    </row>
    <row r="137" spans="1:39" x14ac:dyDescent="0.3">
      <c r="A137" t="s">
        <v>844</v>
      </c>
      <c r="B137" t="s">
        <v>747</v>
      </c>
      <c r="C137" t="s">
        <v>845</v>
      </c>
      <c r="D137" t="s">
        <v>52</v>
      </c>
      <c r="E137">
        <v>0.5</v>
      </c>
    </row>
    <row r="138" spans="1:39" x14ac:dyDescent="0.3">
      <c r="A138" t="s">
        <v>846</v>
      </c>
      <c r="B138" t="s">
        <v>747</v>
      </c>
      <c r="C138" t="s">
        <v>847</v>
      </c>
      <c r="D138" t="s">
        <v>85</v>
      </c>
      <c r="E138">
        <v>0.2</v>
      </c>
      <c r="F138" t="s">
        <v>846</v>
      </c>
      <c r="G138" t="s">
        <v>848</v>
      </c>
      <c r="H138" t="s">
        <v>849</v>
      </c>
      <c r="I138" t="s">
        <v>46</v>
      </c>
      <c r="J138" t="s">
        <v>47</v>
      </c>
      <c r="M138">
        <v>5</v>
      </c>
      <c r="N138">
        <v>2</v>
      </c>
      <c r="O138">
        <v>0</v>
      </c>
      <c r="P138">
        <v>33</v>
      </c>
      <c r="Q138" t="s">
        <v>850</v>
      </c>
      <c r="R138">
        <v>0</v>
      </c>
      <c r="S138">
        <v>0</v>
      </c>
      <c r="T138">
        <v>4</v>
      </c>
      <c r="U138">
        <v>0</v>
      </c>
      <c r="V138">
        <v>16.5</v>
      </c>
      <c r="W138">
        <v>113.79</v>
      </c>
      <c r="Z138">
        <v>1</v>
      </c>
      <c r="AA138">
        <v>1</v>
      </c>
    </row>
    <row r="139" spans="1:39" x14ac:dyDescent="0.3">
      <c r="A139" t="s">
        <v>851</v>
      </c>
      <c r="B139" t="s">
        <v>747</v>
      </c>
      <c r="C139" t="s">
        <v>852</v>
      </c>
      <c r="D139" t="s">
        <v>63</v>
      </c>
      <c r="E139">
        <v>0.2</v>
      </c>
      <c r="F139" t="s">
        <v>851</v>
      </c>
      <c r="G139" t="s">
        <v>853</v>
      </c>
      <c r="H139" t="s">
        <v>854</v>
      </c>
      <c r="I139" t="s">
        <v>46</v>
      </c>
      <c r="J139" t="s">
        <v>47</v>
      </c>
      <c r="K139" t="s">
        <v>89</v>
      </c>
      <c r="L139" t="s">
        <v>58</v>
      </c>
      <c r="M139">
        <v>3</v>
      </c>
      <c r="N139">
        <v>0</v>
      </c>
      <c r="O139">
        <v>0</v>
      </c>
      <c r="R139">
        <v>0</v>
      </c>
      <c r="S139">
        <v>0</v>
      </c>
      <c r="T139">
        <v>0</v>
      </c>
      <c r="U139">
        <v>0</v>
      </c>
      <c r="W139">
        <v>0</v>
      </c>
      <c r="Z139">
        <v>0</v>
      </c>
      <c r="AA139">
        <v>0</v>
      </c>
      <c r="AB139">
        <v>3</v>
      </c>
      <c r="AC139">
        <v>8.1</v>
      </c>
      <c r="AD139">
        <v>0</v>
      </c>
      <c r="AE139">
        <v>93</v>
      </c>
      <c r="AF139">
        <v>4</v>
      </c>
      <c r="AG139" t="s">
        <v>855</v>
      </c>
      <c r="AH139">
        <v>0</v>
      </c>
      <c r="AI139">
        <v>0</v>
      </c>
      <c r="AJ139">
        <v>23.25</v>
      </c>
      <c r="AK139">
        <v>11.38</v>
      </c>
      <c r="AL139">
        <v>12.25</v>
      </c>
      <c r="AM139">
        <v>3</v>
      </c>
    </row>
    <row r="140" spans="1:39" x14ac:dyDescent="0.3">
      <c r="A140" t="s">
        <v>856</v>
      </c>
      <c r="B140" t="s">
        <v>747</v>
      </c>
      <c r="C140" t="s">
        <v>857</v>
      </c>
      <c r="D140" t="s">
        <v>63</v>
      </c>
      <c r="E140">
        <v>0.2</v>
      </c>
      <c r="F140" t="s">
        <v>858</v>
      </c>
      <c r="G140" t="s">
        <v>859</v>
      </c>
      <c r="H140" t="s">
        <v>860</v>
      </c>
      <c r="I140" t="s">
        <v>46</v>
      </c>
      <c r="J140" t="s">
        <v>67</v>
      </c>
      <c r="K140" t="s">
        <v>89</v>
      </c>
      <c r="L140" t="s">
        <v>58</v>
      </c>
      <c r="M140">
        <v>5</v>
      </c>
      <c r="N140">
        <v>2</v>
      </c>
      <c r="O140">
        <v>1</v>
      </c>
      <c r="P140">
        <v>21</v>
      </c>
      <c r="Q140" t="s">
        <v>861</v>
      </c>
      <c r="R140">
        <v>0</v>
      </c>
      <c r="S140">
        <v>0</v>
      </c>
      <c r="T140">
        <v>2</v>
      </c>
      <c r="U140">
        <v>1</v>
      </c>
      <c r="V140">
        <v>21</v>
      </c>
      <c r="W140">
        <v>175</v>
      </c>
      <c r="X140">
        <v>1</v>
      </c>
      <c r="Y140">
        <v>0</v>
      </c>
      <c r="Z140">
        <v>0</v>
      </c>
      <c r="AA140">
        <v>0</v>
      </c>
      <c r="AB140">
        <v>5</v>
      </c>
      <c r="AC140">
        <v>17</v>
      </c>
      <c r="AD140">
        <v>0</v>
      </c>
      <c r="AE140">
        <v>192</v>
      </c>
      <c r="AF140">
        <v>3</v>
      </c>
      <c r="AG140" t="s">
        <v>862</v>
      </c>
      <c r="AH140">
        <v>0</v>
      </c>
      <c r="AI140">
        <v>0</v>
      </c>
      <c r="AJ140">
        <v>64</v>
      </c>
      <c r="AK140">
        <v>11.29</v>
      </c>
      <c r="AL140">
        <v>34</v>
      </c>
      <c r="AM140">
        <v>5</v>
      </c>
    </row>
    <row r="141" spans="1:39" x14ac:dyDescent="0.3">
      <c r="A141" t="s">
        <v>863</v>
      </c>
      <c r="B141" t="s">
        <v>747</v>
      </c>
      <c r="C141" t="s">
        <v>864</v>
      </c>
      <c r="D141" t="s">
        <v>42</v>
      </c>
      <c r="E141">
        <v>0.2</v>
      </c>
      <c r="F141" t="s">
        <v>865</v>
      </c>
      <c r="G141" t="s">
        <v>866</v>
      </c>
      <c r="H141" t="s">
        <v>867</v>
      </c>
      <c r="I141" t="s">
        <v>46</v>
      </c>
      <c r="J141" t="s">
        <v>47</v>
      </c>
      <c r="K141" t="s">
        <v>89</v>
      </c>
    </row>
    <row r="142" spans="1:39" x14ac:dyDescent="0.3">
      <c r="A142" t="s">
        <v>868</v>
      </c>
      <c r="B142" t="s">
        <v>747</v>
      </c>
      <c r="C142" t="s">
        <v>869</v>
      </c>
      <c r="D142" t="s">
        <v>52</v>
      </c>
      <c r="E142">
        <v>0.2</v>
      </c>
      <c r="F142" t="s">
        <v>870</v>
      </c>
      <c r="G142" t="s">
        <v>871</v>
      </c>
      <c r="H142" t="s">
        <v>872</v>
      </c>
      <c r="I142" t="s">
        <v>46</v>
      </c>
      <c r="J142" t="s">
        <v>47</v>
      </c>
      <c r="K142" t="s">
        <v>48</v>
      </c>
    </row>
    <row r="143" spans="1:39" x14ac:dyDescent="0.3">
      <c r="A143" t="s">
        <v>873</v>
      </c>
      <c r="B143" t="s">
        <v>747</v>
      </c>
      <c r="C143" t="s">
        <v>874</v>
      </c>
      <c r="D143" t="s">
        <v>63</v>
      </c>
      <c r="E143">
        <v>0.2</v>
      </c>
      <c r="F143" t="s">
        <v>873</v>
      </c>
      <c r="G143" t="s">
        <v>875</v>
      </c>
      <c r="H143" t="s">
        <v>876</v>
      </c>
      <c r="I143" t="s">
        <v>46</v>
      </c>
      <c r="J143" t="s">
        <v>47</v>
      </c>
      <c r="K143" t="s">
        <v>124</v>
      </c>
    </row>
    <row r="144" spans="1:39" x14ac:dyDescent="0.3">
      <c r="A144" t="s">
        <v>877</v>
      </c>
      <c r="B144" t="s">
        <v>747</v>
      </c>
      <c r="C144" t="s">
        <v>878</v>
      </c>
      <c r="D144" t="s">
        <v>42</v>
      </c>
      <c r="E144">
        <v>0.2</v>
      </c>
      <c r="F144" t="s">
        <v>879</v>
      </c>
      <c r="G144" t="s">
        <v>880</v>
      </c>
      <c r="H144" t="s">
        <v>881</v>
      </c>
      <c r="I144" t="s">
        <v>46</v>
      </c>
      <c r="J144" t="s">
        <v>67</v>
      </c>
      <c r="K144" t="s">
        <v>48</v>
      </c>
    </row>
    <row r="145" spans="1:39" x14ac:dyDescent="0.3">
      <c r="A145" t="s">
        <v>882</v>
      </c>
      <c r="B145" t="s">
        <v>747</v>
      </c>
      <c r="C145" t="s">
        <v>883</v>
      </c>
      <c r="D145" t="s">
        <v>63</v>
      </c>
      <c r="E145">
        <v>0.2</v>
      </c>
      <c r="F145" t="s">
        <v>882</v>
      </c>
      <c r="G145" t="s">
        <v>884</v>
      </c>
      <c r="H145" t="s">
        <v>885</v>
      </c>
      <c r="I145" t="s">
        <v>46</v>
      </c>
      <c r="J145" t="s">
        <v>67</v>
      </c>
      <c r="K145" t="s">
        <v>366</v>
      </c>
    </row>
    <row r="146" spans="1:39" x14ac:dyDescent="0.3">
      <c r="A146" t="s">
        <v>886</v>
      </c>
      <c r="B146" t="s">
        <v>887</v>
      </c>
      <c r="C146" t="s">
        <v>888</v>
      </c>
      <c r="D146" t="s">
        <v>42</v>
      </c>
      <c r="E146">
        <v>12.25</v>
      </c>
      <c r="F146" t="s">
        <v>889</v>
      </c>
      <c r="G146" t="s">
        <v>890</v>
      </c>
      <c r="H146" t="s">
        <v>891</v>
      </c>
      <c r="I146" t="s">
        <v>46</v>
      </c>
      <c r="J146" t="s">
        <v>47</v>
      </c>
      <c r="K146" t="s">
        <v>102</v>
      </c>
      <c r="M146">
        <v>87</v>
      </c>
      <c r="N146">
        <v>87</v>
      </c>
      <c r="O146">
        <v>12</v>
      </c>
      <c r="P146">
        <v>2375</v>
      </c>
      <c r="Q146" t="s">
        <v>892</v>
      </c>
      <c r="R146">
        <v>0</v>
      </c>
      <c r="S146">
        <v>16</v>
      </c>
      <c r="T146">
        <v>196</v>
      </c>
      <c r="U146">
        <v>88</v>
      </c>
      <c r="V146">
        <v>31.66</v>
      </c>
      <c r="W146">
        <v>123.95</v>
      </c>
      <c r="X146">
        <v>34</v>
      </c>
      <c r="Y146">
        <v>0</v>
      </c>
      <c r="Z146">
        <v>6</v>
      </c>
      <c r="AA146">
        <v>4</v>
      </c>
    </row>
    <row r="147" spans="1:39" x14ac:dyDescent="0.3">
      <c r="A147" t="s">
        <v>893</v>
      </c>
      <c r="B147" t="s">
        <v>887</v>
      </c>
      <c r="C147" t="s">
        <v>894</v>
      </c>
      <c r="D147" t="s">
        <v>52</v>
      </c>
      <c r="E147">
        <v>12</v>
      </c>
      <c r="F147" t="s">
        <v>895</v>
      </c>
      <c r="G147" t="s">
        <v>896</v>
      </c>
      <c r="H147" t="s">
        <v>897</v>
      </c>
      <c r="I147" t="s">
        <v>96</v>
      </c>
      <c r="J147" t="s">
        <v>47</v>
      </c>
      <c r="K147" t="s">
        <v>68</v>
      </c>
      <c r="L147" t="s">
        <v>58</v>
      </c>
      <c r="M147">
        <v>84</v>
      </c>
      <c r="N147">
        <v>70</v>
      </c>
      <c r="O147">
        <v>12</v>
      </c>
      <c r="P147">
        <v>1700</v>
      </c>
      <c r="Q147" t="s">
        <v>898</v>
      </c>
      <c r="R147">
        <v>0</v>
      </c>
      <c r="S147">
        <v>9</v>
      </c>
      <c r="T147">
        <v>119</v>
      </c>
      <c r="U147">
        <v>143</v>
      </c>
      <c r="V147">
        <v>29.31</v>
      </c>
      <c r="W147">
        <v>178.57</v>
      </c>
      <c r="X147">
        <v>25</v>
      </c>
      <c r="Y147">
        <v>0</v>
      </c>
      <c r="Z147">
        <v>3</v>
      </c>
      <c r="AA147">
        <v>5</v>
      </c>
      <c r="AB147">
        <v>76</v>
      </c>
      <c r="AC147">
        <v>210.1</v>
      </c>
      <c r="AD147">
        <v>0</v>
      </c>
      <c r="AE147">
        <v>1901</v>
      </c>
      <c r="AF147">
        <v>72</v>
      </c>
      <c r="AG147" t="s">
        <v>899</v>
      </c>
      <c r="AH147">
        <v>6</v>
      </c>
      <c r="AI147">
        <v>1</v>
      </c>
      <c r="AJ147">
        <v>26.4</v>
      </c>
      <c r="AK147">
        <v>9.0399999999999991</v>
      </c>
      <c r="AL147">
        <v>17.510000000000002</v>
      </c>
      <c r="AM147">
        <v>76</v>
      </c>
    </row>
    <row r="148" spans="1:39" x14ac:dyDescent="0.3">
      <c r="A148" t="s">
        <v>900</v>
      </c>
      <c r="B148" t="s">
        <v>887</v>
      </c>
      <c r="C148" t="s">
        <v>901</v>
      </c>
      <c r="D148" t="s">
        <v>52</v>
      </c>
      <c r="E148">
        <v>8</v>
      </c>
      <c r="F148" t="s">
        <v>900</v>
      </c>
      <c r="G148" t="s">
        <v>902</v>
      </c>
      <c r="H148" t="s">
        <v>903</v>
      </c>
      <c r="I148" t="s">
        <v>46</v>
      </c>
      <c r="J148" t="s">
        <v>67</v>
      </c>
      <c r="K148" t="s">
        <v>48</v>
      </c>
      <c r="L148" t="s">
        <v>58</v>
      </c>
      <c r="M148">
        <v>77</v>
      </c>
      <c r="N148">
        <v>71</v>
      </c>
      <c r="O148">
        <v>7</v>
      </c>
      <c r="P148">
        <v>1820</v>
      </c>
      <c r="Q148" t="s">
        <v>904</v>
      </c>
      <c r="R148">
        <v>0</v>
      </c>
      <c r="S148">
        <v>13</v>
      </c>
      <c r="T148">
        <v>161</v>
      </c>
      <c r="U148">
        <v>89</v>
      </c>
      <c r="V148">
        <v>28.43</v>
      </c>
      <c r="W148">
        <v>132.46</v>
      </c>
      <c r="X148">
        <v>15</v>
      </c>
      <c r="Y148">
        <v>0</v>
      </c>
      <c r="Z148">
        <v>6</v>
      </c>
      <c r="AA148">
        <v>3</v>
      </c>
      <c r="AB148">
        <v>16</v>
      </c>
      <c r="AC148">
        <v>19.100000000000001</v>
      </c>
      <c r="AD148">
        <v>0</v>
      </c>
      <c r="AE148">
        <v>154</v>
      </c>
      <c r="AF148">
        <v>7</v>
      </c>
      <c r="AG148" t="s">
        <v>905</v>
      </c>
      <c r="AH148">
        <v>0</v>
      </c>
      <c r="AI148">
        <v>0</v>
      </c>
      <c r="AJ148">
        <v>22</v>
      </c>
      <c r="AK148">
        <v>8.0299999999999994</v>
      </c>
      <c r="AL148">
        <v>16.420000000000002</v>
      </c>
      <c r="AM148">
        <v>16</v>
      </c>
    </row>
    <row r="149" spans="1:39" x14ac:dyDescent="0.3">
      <c r="A149" t="s">
        <v>906</v>
      </c>
      <c r="B149" t="s">
        <v>887</v>
      </c>
      <c r="C149" t="s">
        <v>907</v>
      </c>
      <c r="D149" t="s">
        <v>63</v>
      </c>
      <c r="E149">
        <v>8</v>
      </c>
      <c r="F149" t="s">
        <v>908</v>
      </c>
      <c r="G149" t="s">
        <v>909</v>
      </c>
      <c r="H149" t="s">
        <v>910</v>
      </c>
      <c r="I149" t="s">
        <v>46</v>
      </c>
      <c r="J149" t="s">
        <v>47</v>
      </c>
      <c r="K149" t="s">
        <v>102</v>
      </c>
      <c r="L149" t="s">
        <v>58</v>
      </c>
      <c r="M149">
        <v>31</v>
      </c>
      <c r="N149">
        <v>6</v>
      </c>
      <c r="O149">
        <v>3</v>
      </c>
      <c r="P149">
        <v>12</v>
      </c>
      <c r="Q149" t="s">
        <v>911</v>
      </c>
      <c r="R149">
        <v>0</v>
      </c>
      <c r="S149">
        <v>0</v>
      </c>
      <c r="T149">
        <v>0</v>
      </c>
      <c r="U149">
        <v>0</v>
      </c>
      <c r="V149">
        <v>4</v>
      </c>
      <c r="W149">
        <v>63.15</v>
      </c>
      <c r="X149">
        <v>4</v>
      </c>
      <c r="Y149">
        <v>0</v>
      </c>
      <c r="Z149">
        <v>2</v>
      </c>
      <c r="AA149">
        <v>2</v>
      </c>
      <c r="AB149">
        <v>31</v>
      </c>
      <c r="AC149">
        <v>123</v>
      </c>
      <c r="AD149">
        <v>0</v>
      </c>
      <c r="AE149">
        <v>839</v>
      </c>
      <c r="AF149">
        <v>36</v>
      </c>
      <c r="AG149" t="s">
        <v>912</v>
      </c>
      <c r="AH149">
        <v>1</v>
      </c>
      <c r="AI149">
        <v>1</v>
      </c>
      <c r="AJ149">
        <v>23.3</v>
      </c>
      <c r="AK149">
        <v>6.82</v>
      </c>
      <c r="AL149">
        <v>20.5</v>
      </c>
      <c r="AM149">
        <v>31</v>
      </c>
    </row>
    <row r="150" spans="1:39" x14ac:dyDescent="0.3">
      <c r="A150" t="s">
        <v>913</v>
      </c>
      <c r="B150" t="s">
        <v>887</v>
      </c>
      <c r="C150" t="s">
        <v>914</v>
      </c>
      <c r="D150" t="s">
        <v>52</v>
      </c>
      <c r="E150">
        <v>8</v>
      </c>
      <c r="F150" t="s">
        <v>915</v>
      </c>
      <c r="G150" t="s">
        <v>916</v>
      </c>
      <c r="H150" t="s">
        <v>917</v>
      </c>
      <c r="I150" t="s">
        <v>46</v>
      </c>
      <c r="J150" t="s">
        <v>67</v>
      </c>
      <c r="K150" t="s">
        <v>89</v>
      </c>
      <c r="L150" t="s">
        <v>58</v>
      </c>
      <c r="M150">
        <v>10</v>
      </c>
      <c r="N150">
        <v>10</v>
      </c>
      <c r="O150">
        <v>1</v>
      </c>
      <c r="P150">
        <v>370</v>
      </c>
      <c r="Q150" t="s">
        <v>918</v>
      </c>
      <c r="R150">
        <v>0</v>
      </c>
      <c r="S150">
        <v>4</v>
      </c>
      <c r="T150">
        <v>37</v>
      </c>
      <c r="U150">
        <v>14</v>
      </c>
      <c r="V150">
        <v>41.11</v>
      </c>
      <c r="W150">
        <v>128.47</v>
      </c>
      <c r="X150">
        <v>7</v>
      </c>
      <c r="Y150">
        <v>0</v>
      </c>
      <c r="Z150">
        <v>0</v>
      </c>
      <c r="AA150">
        <v>0</v>
      </c>
      <c r="AB150">
        <v>4</v>
      </c>
      <c r="AC150">
        <v>8.3000000000000007</v>
      </c>
      <c r="AD150">
        <v>0</v>
      </c>
      <c r="AE150">
        <v>69</v>
      </c>
      <c r="AF150">
        <v>3</v>
      </c>
      <c r="AG150" t="s">
        <v>919</v>
      </c>
      <c r="AH150">
        <v>0</v>
      </c>
      <c r="AI150">
        <v>0</v>
      </c>
      <c r="AJ150">
        <v>23</v>
      </c>
      <c r="AK150">
        <v>8.11</v>
      </c>
      <c r="AL150">
        <v>17</v>
      </c>
      <c r="AM150">
        <v>4</v>
      </c>
    </row>
    <row r="151" spans="1:39" x14ac:dyDescent="0.3">
      <c r="A151" t="s">
        <v>920</v>
      </c>
      <c r="B151" t="s">
        <v>887</v>
      </c>
      <c r="C151" t="s">
        <v>921</v>
      </c>
      <c r="D151" t="s">
        <v>52</v>
      </c>
      <c r="E151">
        <v>7.25</v>
      </c>
      <c r="F151" t="s">
        <v>922</v>
      </c>
      <c r="G151" t="s">
        <v>923</v>
      </c>
      <c r="H151" t="s">
        <v>924</v>
      </c>
      <c r="I151" t="s">
        <v>46</v>
      </c>
      <c r="J151" t="s">
        <v>47</v>
      </c>
      <c r="K151" t="s">
        <v>124</v>
      </c>
      <c r="L151" t="s">
        <v>58</v>
      </c>
      <c r="M151">
        <v>26</v>
      </c>
      <c r="N151">
        <v>9</v>
      </c>
      <c r="O151">
        <v>2</v>
      </c>
      <c r="P151">
        <v>48</v>
      </c>
      <c r="Q151" t="s">
        <v>925</v>
      </c>
      <c r="R151">
        <v>0</v>
      </c>
      <c r="S151">
        <v>0</v>
      </c>
      <c r="T151">
        <v>4</v>
      </c>
      <c r="U151">
        <v>2</v>
      </c>
      <c r="V151">
        <v>6.85</v>
      </c>
      <c r="W151">
        <v>97.95</v>
      </c>
      <c r="X151">
        <v>12</v>
      </c>
      <c r="Y151">
        <v>0</v>
      </c>
      <c r="Z151">
        <v>3</v>
      </c>
      <c r="AA151">
        <v>0</v>
      </c>
      <c r="AB151">
        <v>26</v>
      </c>
      <c r="AC151">
        <v>86.1</v>
      </c>
      <c r="AD151">
        <v>2</v>
      </c>
      <c r="AE151">
        <v>715</v>
      </c>
      <c r="AF151">
        <v>25</v>
      </c>
      <c r="AG151" t="s">
        <v>926</v>
      </c>
      <c r="AH151">
        <v>0</v>
      </c>
      <c r="AI151">
        <v>0</v>
      </c>
      <c r="AJ151">
        <v>28.6</v>
      </c>
      <c r="AK151">
        <v>8.2899999999999991</v>
      </c>
      <c r="AL151">
        <v>20.68</v>
      </c>
      <c r="AM151">
        <v>26</v>
      </c>
    </row>
    <row r="152" spans="1:39" x14ac:dyDescent="0.3">
      <c r="A152" t="s">
        <v>927</v>
      </c>
      <c r="B152" t="s">
        <v>887</v>
      </c>
      <c r="C152" t="s">
        <v>928</v>
      </c>
      <c r="D152" t="s">
        <v>52</v>
      </c>
      <c r="E152">
        <v>7.25</v>
      </c>
      <c r="F152" t="s">
        <v>929</v>
      </c>
      <c r="G152" t="s">
        <v>930</v>
      </c>
      <c r="H152" t="s">
        <v>931</v>
      </c>
      <c r="I152" t="s">
        <v>135</v>
      </c>
      <c r="J152" t="s">
        <v>47</v>
      </c>
      <c r="K152" t="s">
        <v>68</v>
      </c>
      <c r="L152" t="s">
        <v>58</v>
      </c>
      <c r="M152">
        <v>37</v>
      </c>
      <c r="N152">
        <v>26</v>
      </c>
      <c r="O152">
        <v>10</v>
      </c>
      <c r="P152">
        <v>316</v>
      </c>
      <c r="Q152" t="s">
        <v>932</v>
      </c>
      <c r="R152">
        <v>0</v>
      </c>
      <c r="S152">
        <v>2</v>
      </c>
      <c r="T152">
        <v>19</v>
      </c>
      <c r="U152">
        <v>20</v>
      </c>
      <c r="V152">
        <v>19.75</v>
      </c>
      <c r="W152">
        <v>140.44</v>
      </c>
      <c r="X152">
        <v>7</v>
      </c>
      <c r="Y152">
        <v>0</v>
      </c>
      <c r="Z152">
        <v>4</v>
      </c>
      <c r="AA152">
        <v>0</v>
      </c>
      <c r="AB152">
        <v>37</v>
      </c>
      <c r="AC152">
        <v>139</v>
      </c>
      <c r="AD152">
        <v>1</v>
      </c>
      <c r="AE152">
        <v>1145</v>
      </c>
      <c r="AF152">
        <v>38</v>
      </c>
      <c r="AG152" t="s">
        <v>933</v>
      </c>
      <c r="AH152">
        <v>2</v>
      </c>
      <c r="AI152">
        <v>0</v>
      </c>
      <c r="AJ152">
        <v>30.13</v>
      </c>
      <c r="AK152">
        <v>8.23</v>
      </c>
      <c r="AL152">
        <v>21.94</v>
      </c>
      <c r="AM152">
        <v>37</v>
      </c>
    </row>
    <row r="153" spans="1:39" x14ac:dyDescent="0.3">
      <c r="A153" t="s">
        <v>934</v>
      </c>
      <c r="B153" t="s">
        <v>887</v>
      </c>
      <c r="C153" t="s">
        <v>935</v>
      </c>
      <c r="D153" t="s">
        <v>52</v>
      </c>
      <c r="E153">
        <v>6</v>
      </c>
      <c r="F153" t="s">
        <v>936</v>
      </c>
      <c r="G153" t="s">
        <v>937</v>
      </c>
      <c r="H153" t="s">
        <v>938</v>
      </c>
      <c r="I153" t="s">
        <v>96</v>
      </c>
      <c r="J153" t="s">
        <v>67</v>
      </c>
      <c r="K153" t="s">
        <v>48</v>
      </c>
      <c r="L153" t="s">
        <v>58</v>
      </c>
      <c r="M153">
        <v>134</v>
      </c>
      <c r="N153">
        <v>76</v>
      </c>
      <c r="O153">
        <v>15</v>
      </c>
      <c r="P153">
        <v>954</v>
      </c>
      <c r="Q153" t="s">
        <v>939</v>
      </c>
      <c r="R153">
        <v>0</v>
      </c>
      <c r="S153">
        <v>4</v>
      </c>
      <c r="T153">
        <v>106</v>
      </c>
      <c r="U153">
        <v>57</v>
      </c>
      <c r="V153">
        <v>15.63</v>
      </c>
      <c r="W153">
        <v>161.69</v>
      </c>
      <c r="X153">
        <v>21</v>
      </c>
      <c r="Y153">
        <v>0</v>
      </c>
      <c r="Z153">
        <v>13</v>
      </c>
      <c r="AA153">
        <v>5</v>
      </c>
      <c r="AB153">
        <v>133</v>
      </c>
      <c r="AC153">
        <v>520.1</v>
      </c>
      <c r="AD153">
        <v>3</v>
      </c>
      <c r="AE153">
        <v>3508</v>
      </c>
      <c r="AF153">
        <v>143</v>
      </c>
      <c r="AG153" t="s">
        <v>242</v>
      </c>
      <c r="AH153">
        <v>6</v>
      </c>
      <c r="AI153">
        <v>1</v>
      </c>
      <c r="AJ153">
        <v>24.53</v>
      </c>
      <c r="AK153">
        <v>6.74</v>
      </c>
      <c r="AL153">
        <v>21.82</v>
      </c>
      <c r="AM153">
        <v>133</v>
      </c>
    </row>
    <row r="154" spans="1:39" x14ac:dyDescent="0.3">
      <c r="A154" t="s">
        <v>940</v>
      </c>
      <c r="B154" t="s">
        <v>887</v>
      </c>
      <c r="C154" t="s">
        <v>941</v>
      </c>
      <c r="D154" t="s">
        <v>63</v>
      </c>
      <c r="E154">
        <v>2</v>
      </c>
      <c r="F154" t="s">
        <v>942</v>
      </c>
      <c r="G154" t="s">
        <v>943</v>
      </c>
      <c r="H154" t="s">
        <v>944</v>
      </c>
      <c r="I154" t="s">
        <v>46</v>
      </c>
      <c r="J154" t="s">
        <v>47</v>
      </c>
      <c r="K154" t="s">
        <v>68</v>
      </c>
      <c r="L154" t="s">
        <v>58</v>
      </c>
      <c r="M154">
        <v>121</v>
      </c>
      <c r="N154">
        <v>38</v>
      </c>
      <c r="O154">
        <v>24</v>
      </c>
      <c r="P154">
        <v>122</v>
      </c>
      <c r="Q154" t="s">
        <v>945</v>
      </c>
      <c r="R154">
        <v>0</v>
      </c>
      <c r="S154">
        <v>0</v>
      </c>
      <c r="T154">
        <v>11</v>
      </c>
      <c r="U154">
        <v>4</v>
      </c>
      <c r="V154">
        <v>8.7100000000000009</v>
      </c>
      <c r="W154">
        <v>95.31</v>
      </c>
      <c r="X154">
        <v>29</v>
      </c>
      <c r="Y154">
        <v>0</v>
      </c>
      <c r="Z154">
        <v>11</v>
      </c>
      <c r="AA154">
        <v>2</v>
      </c>
      <c r="AB154">
        <v>120</v>
      </c>
      <c r="AC154">
        <v>420.2</v>
      </c>
      <c r="AD154">
        <v>3</v>
      </c>
      <c r="AE154">
        <v>3579</v>
      </c>
      <c r="AF154">
        <v>119</v>
      </c>
      <c r="AG154" t="s">
        <v>946</v>
      </c>
      <c r="AH154">
        <v>12</v>
      </c>
      <c r="AI154">
        <v>0</v>
      </c>
      <c r="AJ154">
        <v>30.07</v>
      </c>
      <c r="AK154">
        <v>8.51</v>
      </c>
      <c r="AL154">
        <v>21.19</v>
      </c>
      <c r="AM154">
        <v>120</v>
      </c>
    </row>
    <row r="155" spans="1:39" x14ac:dyDescent="0.3">
      <c r="A155" t="s">
        <v>947</v>
      </c>
      <c r="B155" t="s">
        <v>887</v>
      </c>
      <c r="C155" t="s">
        <v>948</v>
      </c>
      <c r="D155" t="s">
        <v>85</v>
      </c>
      <c r="E155">
        <v>2</v>
      </c>
      <c r="F155" t="s">
        <v>949</v>
      </c>
      <c r="G155" t="s">
        <v>950</v>
      </c>
      <c r="H155" t="s">
        <v>951</v>
      </c>
      <c r="I155" t="s">
        <v>56</v>
      </c>
      <c r="J155" t="s">
        <v>47</v>
      </c>
      <c r="M155">
        <v>22</v>
      </c>
      <c r="N155">
        <v>19</v>
      </c>
      <c r="O155">
        <v>0</v>
      </c>
      <c r="P155">
        <v>334</v>
      </c>
      <c r="Q155" t="s">
        <v>952</v>
      </c>
      <c r="R155">
        <v>0</v>
      </c>
      <c r="S155">
        <v>3</v>
      </c>
      <c r="T155">
        <v>31</v>
      </c>
      <c r="U155">
        <v>10</v>
      </c>
      <c r="V155">
        <v>17.57</v>
      </c>
      <c r="W155">
        <v>133.6</v>
      </c>
      <c r="X155">
        <v>13</v>
      </c>
      <c r="Y155">
        <v>0</v>
      </c>
      <c r="Z155">
        <v>3</v>
      </c>
      <c r="AA155">
        <v>1</v>
      </c>
    </row>
    <row r="156" spans="1:39" x14ac:dyDescent="0.3">
      <c r="A156" t="s">
        <v>953</v>
      </c>
      <c r="B156" t="s">
        <v>887</v>
      </c>
      <c r="C156" t="s">
        <v>954</v>
      </c>
      <c r="D156" t="s">
        <v>63</v>
      </c>
      <c r="E156">
        <v>1.5</v>
      </c>
      <c r="F156" t="s">
        <v>955</v>
      </c>
      <c r="G156" t="s">
        <v>956</v>
      </c>
      <c r="H156" t="s">
        <v>957</v>
      </c>
      <c r="I156" t="s">
        <v>205</v>
      </c>
      <c r="J156" t="s">
        <v>47</v>
      </c>
      <c r="K156" t="s">
        <v>130</v>
      </c>
      <c r="L156" t="s">
        <v>58</v>
      </c>
      <c r="M156">
        <v>43</v>
      </c>
      <c r="N156">
        <v>15</v>
      </c>
      <c r="O156">
        <v>6</v>
      </c>
      <c r="P156">
        <v>118</v>
      </c>
      <c r="Q156" t="s">
        <v>495</v>
      </c>
      <c r="R156">
        <v>0</v>
      </c>
      <c r="S156">
        <v>0</v>
      </c>
      <c r="T156">
        <v>8</v>
      </c>
      <c r="U156">
        <v>4</v>
      </c>
      <c r="V156">
        <v>13.11</v>
      </c>
      <c r="W156">
        <v>124.21</v>
      </c>
      <c r="X156">
        <v>19</v>
      </c>
      <c r="Y156">
        <v>0</v>
      </c>
      <c r="Z156">
        <v>1</v>
      </c>
      <c r="AA156">
        <v>3</v>
      </c>
      <c r="AB156">
        <v>43</v>
      </c>
      <c r="AC156">
        <v>160</v>
      </c>
      <c r="AD156">
        <v>2</v>
      </c>
      <c r="AE156">
        <v>1388</v>
      </c>
      <c r="AF156">
        <v>31</v>
      </c>
      <c r="AG156" t="s">
        <v>509</v>
      </c>
      <c r="AH156">
        <v>2</v>
      </c>
      <c r="AI156">
        <v>0</v>
      </c>
      <c r="AJ156">
        <v>44.77</v>
      </c>
      <c r="AK156">
        <v>8.67</v>
      </c>
      <c r="AL156">
        <v>30.96</v>
      </c>
      <c r="AM156">
        <v>43</v>
      </c>
    </row>
    <row r="157" spans="1:39" x14ac:dyDescent="0.3">
      <c r="A157" t="s">
        <v>958</v>
      </c>
      <c r="B157" t="s">
        <v>887</v>
      </c>
      <c r="C157" t="s">
        <v>959</v>
      </c>
      <c r="D157" t="s">
        <v>42</v>
      </c>
      <c r="E157">
        <v>1.5</v>
      </c>
      <c r="F157" t="s">
        <v>960</v>
      </c>
      <c r="G157" t="s">
        <v>961</v>
      </c>
      <c r="H157" t="s">
        <v>962</v>
      </c>
      <c r="I157" t="s">
        <v>56</v>
      </c>
      <c r="J157" t="s">
        <v>47</v>
      </c>
      <c r="K157" t="s">
        <v>89</v>
      </c>
      <c r="M157">
        <v>6</v>
      </c>
      <c r="N157">
        <v>6</v>
      </c>
      <c r="O157">
        <v>0</v>
      </c>
      <c r="P157">
        <v>148</v>
      </c>
      <c r="Q157" t="s">
        <v>963</v>
      </c>
      <c r="R157">
        <v>0</v>
      </c>
      <c r="S157">
        <v>0</v>
      </c>
      <c r="T157">
        <v>13</v>
      </c>
      <c r="U157">
        <v>6</v>
      </c>
      <c r="V157">
        <v>24.66</v>
      </c>
      <c r="W157">
        <v>125.42</v>
      </c>
      <c r="X157">
        <v>2</v>
      </c>
      <c r="Y157">
        <v>0</v>
      </c>
    </row>
    <row r="158" spans="1:39" x14ac:dyDescent="0.3">
      <c r="A158" t="s">
        <v>964</v>
      </c>
      <c r="B158" t="s">
        <v>887</v>
      </c>
      <c r="C158" t="s">
        <v>965</v>
      </c>
      <c r="D158" t="s">
        <v>52</v>
      </c>
      <c r="E158">
        <v>1</v>
      </c>
      <c r="F158" t="s">
        <v>964</v>
      </c>
      <c r="G158" t="s">
        <v>966</v>
      </c>
      <c r="H158" t="s">
        <v>967</v>
      </c>
      <c r="I158" t="s">
        <v>307</v>
      </c>
      <c r="J158" t="s">
        <v>47</v>
      </c>
      <c r="K158" t="s">
        <v>48</v>
      </c>
      <c r="L158" t="s">
        <v>58</v>
      </c>
      <c r="M158">
        <v>17</v>
      </c>
      <c r="N158">
        <v>14</v>
      </c>
      <c r="O158">
        <v>2</v>
      </c>
      <c r="P158">
        <v>180</v>
      </c>
      <c r="Q158" t="s">
        <v>968</v>
      </c>
      <c r="R158">
        <v>0</v>
      </c>
      <c r="S158">
        <v>0</v>
      </c>
      <c r="T158">
        <v>16</v>
      </c>
      <c r="U158">
        <v>9</v>
      </c>
      <c r="V158">
        <v>15</v>
      </c>
      <c r="W158">
        <v>151.26</v>
      </c>
      <c r="X158">
        <v>11</v>
      </c>
      <c r="Y158">
        <v>0</v>
      </c>
      <c r="Z158">
        <v>0</v>
      </c>
      <c r="AA158">
        <v>1</v>
      </c>
      <c r="AB158">
        <v>17</v>
      </c>
      <c r="AC158">
        <v>57.1</v>
      </c>
      <c r="AD158">
        <v>0</v>
      </c>
      <c r="AE158">
        <v>408</v>
      </c>
      <c r="AF158">
        <v>13</v>
      </c>
      <c r="AG158" t="s">
        <v>969</v>
      </c>
      <c r="AH158">
        <v>0</v>
      </c>
      <c r="AI158">
        <v>0</v>
      </c>
      <c r="AJ158">
        <v>31.38</v>
      </c>
      <c r="AK158">
        <v>7.13</v>
      </c>
      <c r="AL158">
        <v>26.38</v>
      </c>
      <c r="AM158">
        <v>17</v>
      </c>
    </row>
    <row r="159" spans="1:39" x14ac:dyDescent="0.3">
      <c r="A159" t="s">
        <v>970</v>
      </c>
      <c r="B159" t="s">
        <v>887</v>
      </c>
      <c r="C159" t="s">
        <v>971</v>
      </c>
      <c r="D159" t="s">
        <v>42</v>
      </c>
      <c r="E159">
        <v>1</v>
      </c>
      <c r="F159" t="s">
        <v>972</v>
      </c>
      <c r="G159" t="s">
        <v>973</v>
      </c>
      <c r="H159" t="s">
        <v>974</v>
      </c>
      <c r="I159" t="s">
        <v>46</v>
      </c>
      <c r="J159" t="s">
        <v>47</v>
      </c>
      <c r="K159" t="s">
        <v>89</v>
      </c>
      <c r="L159" t="s">
        <v>58</v>
      </c>
      <c r="M159">
        <v>151</v>
      </c>
      <c r="N159">
        <v>141</v>
      </c>
      <c r="O159">
        <v>16</v>
      </c>
      <c r="P159">
        <v>3941</v>
      </c>
      <c r="Q159" t="s">
        <v>975</v>
      </c>
      <c r="R159">
        <v>2</v>
      </c>
      <c r="S159">
        <v>28</v>
      </c>
      <c r="T159">
        <v>417</v>
      </c>
      <c r="U159">
        <v>76</v>
      </c>
      <c r="V159">
        <v>31.52</v>
      </c>
      <c r="W159">
        <v>121.33</v>
      </c>
      <c r="X159">
        <v>58</v>
      </c>
      <c r="Y159">
        <v>0</v>
      </c>
      <c r="Z159">
        <v>13</v>
      </c>
      <c r="AA159">
        <v>7</v>
      </c>
      <c r="AB159">
        <v>1</v>
      </c>
      <c r="AC159">
        <v>1</v>
      </c>
      <c r="AD159">
        <v>0</v>
      </c>
      <c r="AE159">
        <v>5</v>
      </c>
      <c r="AF159">
        <v>1</v>
      </c>
      <c r="AG159" t="s">
        <v>976</v>
      </c>
      <c r="AH159">
        <v>0</v>
      </c>
      <c r="AI159">
        <v>0</v>
      </c>
      <c r="AJ159">
        <v>5</v>
      </c>
      <c r="AK159">
        <v>5</v>
      </c>
      <c r="AL159">
        <v>6</v>
      </c>
      <c r="AM159">
        <v>1</v>
      </c>
    </row>
    <row r="160" spans="1:39" x14ac:dyDescent="0.3">
      <c r="A160" t="s">
        <v>977</v>
      </c>
      <c r="B160" t="s">
        <v>887</v>
      </c>
      <c r="C160" t="s">
        <v>978</v>
      </c>
      <c r="D160" t="s">
        <v>85</v>
      </c>
      <c r="E160">
        <v>0.6</v>
      </c>
    </row>
    <row r="161" spans="1:39" x14ac:dyDescent="0.3">
      <c r="A161" t="s">
        <v>979</v>
      </c>
      <c r="B161" t="s">
        <v>887</v>
      </c>
      <c r="C161" t="s">
        <v>980</v>
      </c>
      <c r="D161" t="s">
        <v>42</v>
      </c>
      <c r="E161">
        <v>0.55000000000000004</v>
      </c>
      <c r="F161" t="s">
        <v>981</v>
      </c>
      <c r="G161" t="s">
        <v>982</v>
      </c>
      <c r="H161" t="s">
        <v>983</v>
      </c>
      <c r="I161" t="s">
        <v>46</v>
      </c>
      <c r="J161" t="s">
        <v>67</v>
      </c>
      <c r="K161" t="s">
        <v>48</v>
      </c>
      <c r="M161">
        <v>10</v>
      </c>
      <c r="N161">
        <v>8</v>
      </c>
      <c r="O161">
        <v>1</v>
      </c>
      <c r="P161">
        <v>77</v>
      </c>
      <c r="Q161" t="s">
        <v>984</v>
      </c>
      <c r="R161">
        <v>0</v>
      </c>
      <c r="S161">
        <v>0</v>
      </c>
      <c r="T161">
        <v>6</v>
      </c>
      <c r="U161">
        <v>2</v>
      </c>
      <c r="V161">
        <v>11</v>
      </c>
      <c r="W161">
        <v>101.31</v>
      </c>
      <c r="X161">
        <v>6</v>
      </c>
      <c r="Y161">
        <v>0</v>
      </c>
      <c r="Z161">
        <v>0</v>
      </c>
      <c r="AA161">
        <v>0</v>
      </c>
    </row>
    <row r="162" spans="1:39" x14ac:dyDescent="0.3">
      <c r="A162" t="s">
        <v>985</v>
      </c>
      <c r="B162" t="s">
        <v>887</v>
      </c>
      <c r="C162" t="s">
        <v>986</v>
      </c>
      <c r="D162" t="s">
        <v>63</v>
      </c>
      <c r="E162">
        <v>0.55000000000000004</v>
      </c>
      <c r="F162" t="s">
        <v>985</v>
      </c>
      <c r="G162" s="1">
        <v>37424</v>
      </c>
      <c r="H162" t="s">
        <v>987</v>
      </c>
      <c r="I162" t="s">
        <v>46</v>
      </c>
      <c r="J162" t="s">
        <v>47</v>
      </c>
      <c r="K162" t="s">
        <v>130</v>
      </c>
    </row>
    <row r="163" spans="1:39" x14ac:dyDescent="0.3">
      <c r="A163" t="s">
        <v>988</v>
      </c>
      <c r="B163" t="s">
        <v>887</v>
      </c>
      <c r="C163" t="s">
        <v>989</v>
      </c>
      <c r="D163" t="s">
        <v>52</v>
      </c>
      <c r="E163">
        <v>0.5</v>
      </c>
      <c r="F163" t="s">
        <v>988</v>
      </c>
      <c r="G163" s="1">
        <v>35214</v>
      </c>
      <c r="H163" t="s">
        <v>990</v>
      </c>
      <c r="I163" t="s">
        <v>152</v>
      </c>
      <c r="L163" t="s">
        <v>153</v>
      </c>
    </row>
    <row r="164" spans="1:39" x14ac:dyDescent="0.3">
      <c r="A164" t="s">
        <v>991</v>
      </c>
      <c r="B164" t="s">
        <v>887</v>
      </c>
      <c r="C164" t="s">
        <v>992</v>
      </c>
      <c r="D164" t="s">
        <v>42</v>
      </c>
      <c r="E164">
        <v>0.4</v>
      </c>
      <c r="F164" t="s">
        <v>991</v>
      </c>
      <c r="G164" t="s">
        <v>993</v>
      </c>
      <c r="H164" t="s">
        <v>994</v>
      </c>
      <c r="I164" t="s">
        <v>46</v>
      </c>
      <c r="J164" t="s">
        <v>47</v>
      </c>
      <c r="K164" t="s">
        <v>48</v>
      </c>
    </row>
    <row r="165" spans="1:39" x14ac:dyDescent="0.3">
      <c r="A165" t="s">
        <v>995</v>
      </c>
      <c r="B165" t="s">
        <v>887</v>
      </c>
      <c r="C165" t="s">
        <v>996</v>
      </c>
      <c r="D165" t="s">
        <v>52</v>
      </c>
      <c r="E165">
        <v>0.2</v>
      </c>
      <c r="F165" t="s">
        <v>997</v>
      </c>
      <c r="G165" t="s">
        <v>998</v>
      </c>
      <c r="H165" t="s">
        <v>999</v>
      </c>
      <c r="I165" t="s">
        <v>46</v>
      </c>
      <c r="J165" t="s">
        <v>67</v>
      </c>
      <c r="K165" t="s">
        <v>116</v>
      </c>
      <c r="L165" t="s">
        <v>58</v>
      </c>
      <c r="M165">
        <v>1</v>
      </c>
      <c r="N165">
        <v>0</v>
      </c>
      <c r="O165">
        <v>0</v>
      </c>
      <c r="R165">
        <v>0</v>
      </c>
      <c r="S165">
        <v>0</v>
      </c>
      <c r="T165">
        <v>0</v>
      </c>
      <c r="U165">
        <v>0</v>
      </c>
      <c r="W165">
        <v>0</v>
      </c>
      <c r="Z165">
        <v>0</v>
      </c>
      <c r="AA165">
        <v>0</v>
      </c>
      <c r="AB165">
        <v>1</v>
      </c>
      <c r="AC165">
        <v>2</v>
      </c>
      <c r="AD165">
        <v>0</v>
      </c>
      <c r="AE165">
        <v>11</v>
      </c>
      <c r="AF165">
        <v>1</v>
      </c>
      <c r="AG165" t="s">
        <v>1000</v>
      </c>
      <c r="AH165">
        <v>0</v>
      </c>
      <c r="AI165">
        <v>0</v>
      </c>
      <c r="AJ165">
        <v>11</v>
      </c>
      <c r="AK165">
        <v>5.5</v>
      </c>
      <c r="AL165">
        <v>12</v>
      </c>
      <c r="AM165">
        <v>1</v>
      </c>
    </row>
    <row r="166" spans="1:39" x14ac:dyDescent="0.3">
      <c r="A166" t="s">
        <v>1001</v>
      </c>
      <c r="B166" t="s">
        <v>887</v>
      </c>
      <c r="C166" t="s">
        <v>1002</v>
      </c>
      <c r="D166" t="s">
        <v>42</v>
      </c>
      <c r="E166">
        <v>0.2</v>
      </c>
      <c r="F166" t="s">
        <v>1001</v>
      </c>
      <c r="G166" t="s">
        <v>1003</v>
      </c>
      <c r="H166" t="s">
        <v>1004</v>
      </c>
      <c r="I166" t="s">
        <v>46</v>
      </c>
      <c r="J166" t="s">
        <v>67</v>
      </c>
      <c r="K166" t="s">
        <v>48</v>
      </c>
    </row>
    <row r="167" spans="1:39" x14ac:dyDescent="0.3">
      <c r="A167" t="s">
        <v>1005</v>
      </c>
      <c r="B167" t="s">
        <v>887</v>
      </c>
      <c r="C167" t="s">
        <v>1006</v>
      </c>
      <c r="D167" t="s">
        <v>63</v>
      </c>
      <c r="E167">
        <v>0.2</v>
      </c>
      <c r="F167" t="s">
        <v>1007</v>
      </c>
      <c r="G167" s="1">
        <v>36986</v>
      </c>
      <c r="H167" t="s">
        <v>1008</v>
      </c>
      <c r="I167" t="s">
        <v>46</v>
      </c>
      <c r="J167" t="s">
        <v>47</v>
      </c>
      <c r="K167" t="s">
        <v>89</v>
      </c>
      <c r="L167" t="s">
        <v>58</v>
      </c>
      <c r="M167">
        <v>1</v>
      </c>
      <c r="N167">
        <v>1</v>
      </c>
      <c r="O167">
        <v>1</v>
      </c>
      <c r="P167">
        <v>5</v>
      </c>
      <c r="Q167" t="s">
        <v>1009</v>
      </c>
      <c r="R167">
        <v>0</v>
      </c>
      <c r="S167">
        <v>0</v>
      </c>
      <c r="T167">
        <v>0</v>
      </c>
      <c r="U167">
        <v>0</v>
      </c>
      <c r="W167">
        <v>125</v>
      </c>
      <c r="X167">
        <v>1</v>
      </c>
      <c r="Y167">
        <v>0</v>
      </c>
      <c r="Z167">
        <v>0</v>
      </c>
      <c r="AA167">
        <v>0</v>
      </c>
      <c r="AB167">
        <v>1</v>
      </c>
      <c r="AC167">
        <v>4</v>
      </c>
      <c r="AD167">
        <v>0</v>
      </c>
      <c r="AE167">
        <v>42</v>
      </c>
      <c r="AF167">
        <v>0</v>
      </c>
      <c r="AG167" t="s">
        <v>1010</v>
      </c>
      <c r="AH167">
        <v>0</v>
      </c>
      <c r="AI167">
        <v>0</v>
      </c>
      <c r="AK167">
        <v>10.5</v>
      </c>
      <c r="AM167">
        <v>1</v>
      </c>
    </row>
    <row r="168" spans="1:39" x14ac:dyDescent="0.3">
      <c r="A168" t="s">
        <v>1011</v>
      </c>
      <c r="B168" t="s">
        <v>887</v>
      </c>
      <c r="C168" t="s">
        <v>1012</v>
      </c>
      <c r="D168" t="s">
        <v>42</v>
      </c>
      <c r="E168">
        <v>0.2</v>
      </c>
      <c r="F168" t="s">
        <v>1011</v>
      </c>
      <c r="G168" s="1">
        <v>36161</v>
      </c>
      <c r="H168" t="s">
        <v>1013</v>
      </c>
      <c r="I168" t="s">
        <v>46</v>
      </c>
      <c r="J168" t="s">
        <v>67</v>
      </c>
    </row>
    <row r="169" spans="1:39" x14ac:dyDescent="0.3">
      <c r="A169" t="s">
        <v>1014</v>
      </c>
      <c r="B169" t="s">
        <v>887</v>
      </c>
      <c r="C169" t="s">
        <v>1015</v>
      </c>
      <c r="D169" t="s">
        <v>52</v>
      </c>
      <c r="E169">
        <v>0.2</v>
      </c>
      <c r="F169" t="s">
        <v>1016</v>
      </c>
      <c r="G169" s="1">
        <v>35392</v>
      </c>
      <c r="H169" t="s">
        <v>1017</v>
      </c>
      <c r="I169" t="s">
        <v>46</v>
      </c>
      <c r="J169" t="s">
        <v>47</v>
      </c>
      <c r="K169" t="s">
        <v>89</v>
      </c>
    </row>
    <row r="170" spans="1:39" x14ac:dyDescent="0.3">
      <c r="A170" t="s">
        <v>1018</v>
      </c>
      <c r="B170" t="s">
        <v>887</v>
      </c>
      <c r="C170" t="s">
        <v>1019</v>
      </c>
      <c r="D170" t="s">
        <v>85</v>
      </c>
      <c r="E170">
        <v>0.2</v>
      </c>
      <c r="F170" t="s">
        <v>1018</v>
      </c>
      <c r="G170" t="s">
        <v>1020</v>
      </c>
      <c r="H170" t="s">
        <v>1021</v>
      </c>
      <c r="I170" t="s">
        <v>46</v>
      </c>
      <c r="J170" t="s">
        <v>47</v>
      </c>
      <c r="K170" t="s">
        <v>102</v>
      </c>
    </row>
    <row r="171" spans="1:39" x14ac:dyDescent="0.3">
      <c r="A171" t="s">
        <v>1022</v>
      </c>
      <c r="B171" t="s">
        <v>1023</v>
      </c>
      <c r="C171" t="s">
        <v>1024</v>
      </c>
      <c r="D171" t="s">
        <v>85</v>
      </c>
      <c r="E171">
        <v>16</v>
      </c>
      <c r="F171" t="s">
        <v>1025</v>
      </c>
      <c r="G171" t="s">
        <v>1026</v>
      </c>
      <c r="H171" t="s">
        <v>1027</v>
      </c>
      <c r="I171" t="s">
        <v>46</v>
      </c>
      <c r="J171" t="s">
        <v>67</v>
      </c>
      <c r="M171">
        <v>84</v>
      </c>
      <c r="N171">
        <v>84</v>
      </c>
      <c r="O171">
        <v>13</v>
      </c>
      <c r="P171">
        <v>2498</v>
      </c>
      <c r="Q171" t="s">
        <v>1028</v>
      </c>
      <c r="R171">
        <v>1</v>
      </c>
      <c r="S171">
        <v>15</v>
      </c>
      <c r="T171">
        <v>225</v>
      </c>
      <c r="U171">
        <v>113</v>
      </c>
      <c r="V171">
        <v>35.18</v>
      </c>
      <c r="W171">
        <v>147.46</v>
      </c>
      <c r="X171">
        <v>56</v>
      </c>
      <c r="Y171">
        <v>14</v>
      </c>
      <c r="Z171">
        <v>4</v>
      </c>
      <c r="AA171">
        <v>6</v>
      </c>
    </row>
    <row r="172" spans="1:39" x14ac:dyDescent="0.3">
      <c r="A172" t="s">
        <v>1029</v>
      </c>
      <c r="B172" t="s">
        <v>1023</v>
      </c>
      <c r="C172" t="s">
        <v>1030</v>
      </c>
      <c r="D172" t="s">
        <v>63</v>
      </c>
      <c r="E172">
        <v>10.75</v>
      </c>
      <c r="F172" t="s">
        <v>1031</v>
      </c>
      <c r="G172" t="s">
        <v>1032</v>
      </c>
      <c r="H172" t="s">
        <v>1033</v>
      </c>
      <c r="I172" t="s">
        <v>46</v>
      </c>
      <c r="J172" t="s">
        <v>47</v>
      </c>
      <c r="K172" t="s">
        <v>130</v>
      </c>
      <c r="L172" t="s">
        <v>58</v>
      </c>
      <c r="M172">
        <v>61</v>
      </c>
      <c r="N172">
        <v>14</v>
      </c>
      <c r="O172">
        <v>6</v>
      </c>
      <c r="P172">
        <v>53</v>
      </c>
      <c r="Q172" t="s">
        <v>1034</v>
      </c>
      <c r="R172">
        <v>0</v>
      </c>
      <c r="S172">
        <v>0</v>
      </c>
      <c r="T172">
        <v>5</v>
      </c>
      <c r="U172">
        <v>1</v>
      </c>
      <c r="V172">
        <v>6.62</v>
      </c>
      <c r="W172">
        <v>112.76</v>
      </c>
      <c r="X172">
        <v>17</v>
      </c>
      <c r="Y172">
        <v>0</v>
      </c>
      <c r="Z172">
        <v>5</v>
      </c>
      <c r="AA172">
        <v>2</v>
      </c>
      <c r="AB172">
        <v>60</v>
      </c>
      <c r="AC172">
        <v>210</v>
      </c>
      <c r="AD172">
        <v>2</v>
      </c>
      <c r="AE172">
        <v>1867</v>
      </c>
      <c r="AF172">
        <v>67</v>
      </c>
      <c r="AG172" t="s">
        <v>1035</v>
      </c>
      <c r="AH172">
        <v>5</v>
      </c>
      <c r="AI172">
        <v>0</v>
      </c>
      <c r="AJ172">
        <v>27.86</v>
      </c>
      <c r="AK172">
        <v>8.89</v>
      </c>
      <c r="AL172">
        <v>18.8</v>
      </c>
      <c r="AM172">
        <v>60</v>
      </c>
    </row>
    <row r="173" spans="1:39" x14ac:dyDescent="0.3">
      <c r="A173" t="s">
        <v>1036</v>
      </c>
      <c r="B173" t="s">
        <v>1023</v>
      </c>
      <c r="C173" t="s">
        <v>1037</v>
      </c>
      <c r="D173" t="s">
        <v>52</v>
      </c>
      <c r="E173">
        <v>9</v>
      </c>
      <c r="F173" t="s">
        <v>1038</v>
      </c>
      <c r="G173" t="s">
        <v>1039</v>
      </c>
      <c r="H173" t="s">
        <v>1040</v>
      </c>
      <c r="I173" t="s">
        <v>46</v>
      </c>
      <c r="J173" t="s">
        <v>67</v>
      </c>
      <c r="K173" t="s">
        <v>116</v>
      </c>
      <c r="L173" t="s">
        <v>58</v>
      </c>
      <c r="M173">
        <v>109</v>
      </c>
      <c r="N173">
        <v>78</v>
      </c>
      <c r="O173">
        <v>23</v>
      </c>
      <c r="P173">
        <v>953</v>
      </c>
      <c r="Q173" t="s">
        <v>1041</v>
      </c>
      <c r="R173">
        <v>0</v>
      </c>
      <c r="S173">
        <v>0</v>
      </c>
      <c r="T173">
        <v>55</v>
      </c>
      <c r="U173">
        <v>44</v>
      </c>
      <c r="V173">
        <v>17.32</v>
      </c>
      <c r="W173">
        <v>125.23</v>
      </c>
      <c r="X173">
        <v>44</v>
      </c>
      <c r="Y173">
        <v>0</v>
      </c>
      <c r="Z173">
        <v>7</v>
      </c>
      <c r="AA173">
        <v>6</v>
      </c>
      <c r="AB173">
        <v>108</v>
      </c>
      <c r="AC173">
        <v>382.3</v>
      </c>
      <c r="AD173">
        <v>2</v>
      </c>
      <c r="AE173">
        <v>2762</v>
      </c>
      <c r="AF173">
        <v>95</v>
      </c>
      <c r="AG173" t="s">
        <v>1042</v>
      </c>
      <c r="AH173">
        <v>3</v>
      </c>
      <c r="AI173">
        <v>0</v>
      </c>
      <c r="AJ173">
        <v>29.07</v>
      </c>
      <c r="AK173">
        <v>7.22</v>
      </c>
      <c r="AL173">
        <v>24.15</v>
      </c>
      <c r="AM173">
        <v>108</v>
      </c>
    </row>
    <row r="174" spans="1:39" x14ac:dyDescent="0.3">
      <c r="A174" t="s">
        <v>1043</v>
      </c>
      <c r="B174" t="s">
        <v>1023</v>
      </c>
      <c r="C174" t="s">
        <v>1044</v>
      </c>
      <c r="D174" t="s">
        <v>42</v>
      </c>
      <c r="E174">
        <v>7.5</v>
      </c>
      <c r="F174" t="s">
        <v>1045</v>
      </c>
      <c r="G174" t="s">
        <v>1046</v>
      </c>
      <c r="H174" t="s">
        <v>1047</v>
      </c>
      <c r="I174" t="s">
        <v>46</v>
      </c>
      <c r="J174" t="s">
        <v>47</v>
      </c>
      <c r="K174" t="s">
        <v>48</v>
      </c>
      <c r="M174">
        <v>53</v>
      </c>
      <c r="N174">
        <v>53</v>
      </c>
      <c r="O174">
        <v>0</v>
      </c>
      <c r="P174">
        <v>1305</v>
      </c>
      <c r="Q174" t="s">
        <v>1048</v>
      </c>
      <c r="R174">
        <v>0</v>
      </c>
      <c r="S174">
        <v>10</v>
      </c>
      <c r="T174">
        <v>155</v>
      </c>
      <c r="U174">
        <v>45</v>
      </c>
      <c r="V174">
        <v>24.62</v>
      </c>
      <c r="W174">
        <v>146.30000000000001</v>
      </c>
      <c r="X174">
        <v>11</v>
      </c>
      <c r="Y174">
        <v>0</v>
      </c>
      <c r="Z174">
        <v>4</v>
      </c>
      <c r="AA174">
        <v>3</v>
      </c>
    </row>
    <row r="175" spans="1:39" x14ac:dyDescent="0.3">
      <c r="A175" t="s">
        <v>1049</v>
      </c>
      <c r="B175" t="s">
        <v>1023</v>
      </c>
      <c r="C175" t="s">
        <v>1050</v>
      </c>
      <c r="D175" t="s">
        <v>52</v>
      </c>
      <c r="E175">
        <v>6.5</v>
      </c>
      <c r="F175" t="s">
        <v>1051</v>
      </c>
      <c r="G175" t="s">
        <v>1052</v>
      </c>
      <c r="H175" t="s">
        <v>1053</v>
      </c>
      <c r="I175" t="s">
        <v>135</v>
      </c>
      <c r="J175" t="s">
        <v>47</v>
      </c>
      <c r="K175" t="s">
        <v>89</v>
      </c>
      <c r="L175" t="s">
        <v>58</v>
      </c>
      <c r="M175">
        <v>21</v>
      </c>
      <c r="N175">
        <v>15</v>
      </c>
      <c r="O175">
        <v>2</v>
      </c>
      <c r="P175">
        <v>225</v>
      </c>
      <c r="Q175" t="s">
        <v>1054</v>
      </c>
      <c r="R175">
        <v>0</v>
      </c>
      <c r="S175">
        <v>0</v>
      </c>
      <c r="T175">
        <v>9</v>
      </c>
      <c r="U175">
        <v>14</v>
      </c>
      <c r="V175">
        <v>17.3</v>
      </c>
      <c r="W175">
        <v>114.21</v>
      </c>
      <c r="X175">
        <v>7</v>
      </c>
      <c r="Y175">
        <v>0</v>
      </c>
      <c r="Z175">
        <v>1</v>
      </c>
      <c r="AA175">
        <v>1</v>
      </c>
      <c r="AB175">
        <v>19</v>
      </c>
      <c r="AC175">
        <v>53.1</v>
      </c>
      <c r="AD175">
        <v>0</v>
      </c>
      <c r="AE175">
        <v>420</v>
      </c>
      <c r="AF175">
        <v>20</v>
      </c>
      <c r="AG175" t="s">
        <v>1055</v>
      </c>
      <c r="AH175">
        <v>0</v>
      </c>
      <c r="AI175">
        <v>0</v>
      </c>
      <c r="AJ175">
        <v>21</v>
      </c>
      <c r="AK175">
        <v>7.89</v>
      </c>
      <c r="AL175">
        <v>15.95</v>
      </c>
      <c r="AM175">
        <v>19</v>
      </c>
    </row>
    <row r="176" spans="1:39" x14ac:dyDescent="0.3">
      <c r="A176" t="s">
        <v>1056</v>
      </c>
      <c r="B176" t="s">
        <v>1023</v>
      </c>
      <c r="C176" t="s">
        <v>1057</v>
      </c>
      <c r="D176" t="s">
        <v>63</v>
      </c>
      <c r="E176">
        <v>6.5</v>
      </c>
      <c r="F176" t="s">
        <v>1058</v>
      </c>
      <c r="G176" s="1">
        <v>34289</v>
      </c>
      <c r="H176" t="s">
        <v>1059</v>
      </c>
      <c r="I176" t="s">
        <v>66</v>
      </c>
      <c r="J176" t="s">
        <v>47</v>
      </c>
      <c r="K176" t="s">
        <v>68</v>
      </c>
      <c r="L176" t="s">
        <v>58</v>
      </c>
      <c r="M176">
        <v>24</v>
      </c>
      <c r="N176">
        <v>5</v>
      </c>
      <c r="O176">
        <v>4</v>
      </c>
      <c r="P176">
        <v>7</v>
      </c>
      <c r="Q176" t="s">
        <v>1060</v>
      </c>
      <c r="R176">
        <v>0</v>
      </c>
      <c r="S176">
        <v>0</v>
      </c>
      <c r="T176">
        <v>0</v>
      </c>
      <c r="U176">
        <v>0</v>
      </c>
      <c r="V176">
        <v>7</v>
      </c>
      <c r="W176">
        <v>116.66</v>
      </c>
      <c r="X176">
        <v>5</v>
      </c>
      <c r="Y176">
        <v>0</v>
      </c>
      <c r="Z176">
        <v>2</v>
      </c>
      <c r="AA176">
        <v>0</v>
      </c>
      <c r="AB176">
        <v>24</v>
      </c>
      <c r="AC176">
        <v>91.2</v>
      </c>
      <c r="AD176">
        <v>1</v>
      </c>
      <c r="AE176">
        <v>699</v>
      </c>
      <c r="AF176">
        <v>34</v>
      </c>
      <c r="AG176" t="s">
        <v>1061</v>
      </c>
      <c r="AH176">
        <v>2</v>
      </c>
      <c r="AI176">
        <v>0</v>
      </c>
      <c r="AJ176">
        <v>20.55</v>
      </c>
      <c r="AK176">
        <v>7.65</v>
      </c>
      <c r="AL176">
        <v>16.11</v>
      </c>
      <c r="AM176">
        <v>24</v>
      </c>
    </row>
    <row r="177" spans="1:39" x14ac:dyDescent="0.3">
      <c r="A177" t="s">
        <v>1062</v>
      </c>
      <c r="B177" t="s">
        <v>1023</v>
      </c>
      <c r="C177" t="s">
        <v>1063</v>
      </c>
      <c r="D177" t="s">
        <v>42</v>
      </c>
      <c r="E177">
        <v>6.25</v>
      </c>
      <c r="F177" t="s">
        <v>1064</v>
      </c>
      <c r="G177" t="s">
        <v>1065</v>
      </c>
      <c r="H177" t="s">
        <v>1066</v>
      </c>
      <c r="I177" t="s">
        <v>135</v>
      </c>
      <c r="J177" t="s">
        <v>67</v>
      </c>
      <c r="K177" t="s">
        <v>57</v>
      </c>
      <c r="L177" t="s">
        <v>58</v>
      </c>
      <c r="M177">
        <v>150</v>
      </c>
      <c r="N177">
        <v>150</v>
      </c>
      <c r="O177">
        <v>19</v>
      </c>
      <c r="P177">
        <v>5449</v>
      </c>
      <c r="Q177" t="s">
        <v>1067</v>
      </c>
      <c r="R177">
        <v>4</v>
      </c>
      <c r="S177">
        <v>50</v>
      </c>
      <c r="T177">
        <v>525</v>
      </c>
      <c r="U177">
        <v>201</v>
      </c>
      <c r="V177">
        <v>41.59</v>
      </c>
      <c r="W177">
        <v>139.96</v>
      </c>
      <c r="X177">
        <v>68</v>
      </c>
      <c r="Y177">
        <v>0</v>
      </c>
      <c r="Z177">
        <v>8</v>
      </c>
      <c r="AA177">
        <v>9</v>
      </c>
      <c r="AB177">
        <v>1</v>
      </c>
      <c r="AC177">
        <v>0.1</v>
      </c>
      <c r="AD177">
        <v>0</v>
      </c>
      <c r="AE177">
        <v>2</v>
      </c>
      <c r="AF177">
        <v>0</v>
      </c>
      <c r="AG177" t="s">
        <v>1068</v>
      </c>
      <c r="AH177">
        <v>0</v>
      </c>
      <c r="AI177">
        <v>0</v>
      </c>
      <c r="AK177">
        <v>12</v>
      </c>
      <c r="AM177">
        <v>1</v>
      </c>
    </row>
    <row r="178" spans="1:39" x14ac:dyDescent="0.3">
      <c r="A178" t="s">
        <v>1069</v>
      </c>
      <c r="B178" t="s">
        <v>1023</v>
      </c>
      <c r="C178" t="s">
        <v>1070</v>
      </c>
      <c r="D178" t="s">
        <v>63</v>
      </c>
      <c r="E178">
        <v>5.25</v>
      </c>
      <c r="F178" t="s">
        <v>1071</v>
      </c>
      <c r="G178" t="s">
        <v>1072</v>
      </c>
      <c r="H178" t="s">
        <v>1073</v>
      </c>
      <c r="I178" t="s">
        <v>46</v>
      </c>
      <c r="J178" t="s">
        <v>47</v>
      </c>
      <c r="K178" t="s">
        <v>267</v>
      </c>
      <c r="L178" t="s">
        <v>58</v>
      </c>
      <c r="M178">
        <v>24</v>
      </c>
      <c r="N178">
        <v>3</v>
      </c>
      <c r="O178">
        <v>0</v>
      </c>
      <c r="P178">
        <v>1</v>
      </c>
      <c r="Q178" t="s">
        <v>1074</v>
      </c>
      <c r="R178">
        <v>0</v>
      </c>
      <c r="S178">
        <v>0</v>
      </c>
      <c r="T178">
        <v>0</v>
      </c>
      <c r="U178">
        <v>0</v>
      </c>
      <c r="V178">
        <v>0.33</v>
      </c>
      <c r="W178">
        <v>20</v>
      </c>
      <c r="X178">
        <v>1</v>
      </c>
      <c r="Y178">
        <v>0</v>
      </c>
      <c r="Z178">
        <v>2</v>
      </c>
      <c r="AA178">
        <v>1</v>
      </c>
      <c r="AB178">
        <v>24</v>
      </c>
      <c r="AC178">
        <v>90.3</v>
      </c>
      <c r="AD178">
        <v>0</v>
      </c>
      <c r="AE178">
        <v>786</v>
      </c>
      <c r="AF178">
        <v>32</v>
      </c>
      <c r="AG178" t="s">
        <v>1075</v>
      </c>
      <c r="AH178">
        <v>6</v>
      </c>
      <c r="AI178">
        <v>0</v>
      </c>
      <c r="AJ178">
        <v>24.56</v>
      </c>
      <c r="AK178">
        <v>8.68</v>
      </c>
      <c r="AL178">
        <v>16.96</v>
      </c>
      <c r="AM178">
        <v>24</v>
      </c>
    </row>
    <row r="179" spans="1:39" x14ac:dyDescent="0.3">
      <c r="A179" t="s">
        <v>1076</v>
      </c>
      <c r="B179" t="s">
        <v>1023</v>
      </c>
      <c r="C179" t="s">
        <v>1077</v>
      </c>
      <c r="D179" t="s">
        <v>63</v>
      </c>
      <c r="E179">
        <v>4.2</v>
      </c>
      <c r="F179" t="s">
        <v>1076</v>
      </c>
      <c r="G179" t="s">
        <v>1078</v>
      </c>
      <c r="H179" t="s">
        <v>1079</v>
      </c>
      <c r="I179" t="s">
        <v>46</v>
      </c>
      <c r="J179" t="s">
        <v>67</v>
      </c>
      <c r="K179" t="s">
        <v>109</v>
      </c>
      <c r="L179" t="s">
        <v>58</v>
      </c>
      <c r="M179">
        <v>14</v>
      </c>
      <c r="N179">
        <v>6</v>
      </c>
      <c r="O179">
        <v>1</v>
      </c>
      <c r="P179">
        <v>16</v>
      </c>
      <c r="Q179" t="s">
        <v>1080</v>
      </c>
      <c r="R179">
        <v>0</v>
      </c>
      <c r="S179">
        <v>0</v>
      </c>
      <c r="T179">
        <v>2</v>
      </c>
      <c r="U179">
        <v>0</v>
      </c>
      <c r="V179">
        <v>3.2</v>
      </c>
      <c r="W179">
        <v>64</v>
      </c>
      <c r="X179">
        <v>4</v>
      </c>
      <c r="Y179">
        <v>0</v>
      </c>
      <c r="Z179">
        <v>2</v>
      </c>
      <c r="AA179">
        <v>1</v>
      </c>
      <c r="AB179">
        <v>14</v>
      </c>
      <c r="AC179">
        <v>52</v>
      </c>
      <c r="AD179">
        <v>1</v>
      </c>
      <c r="AE179">
        <v>426</v>
      </c>
      <c r="AF179">
        <v>14</v>
      </c>
      <c r="AG179" t="s">
        <v>1081</v>
      </c>
      <c r="AH179">
        <v>2</v>
      </c>
      <c r="AI179">
        <v>0</v>
      </c>
      <c r="AJ179">
        <v>30.42</v>
      </c>
      <c r="AK179">
        <v>8.19</v>
      </c>
      <c r="AL179">
        <v>22.28</v>
      </c>
      <c r="AM179">
        <v>14</v>
      </c>
    </row>
    <row r="180" spans="1:39" x14ac:dyDescent="0.3">
      <c r="A180" t="s">
        <v>1082</v>
      </c>
      <c r="B180" t="s">
        <v>1023</v>
      </c>
      <c r="C180" t="s">
        <v>1083</v>
      </c>
      <c r="D180" t="s">
        <v>42</v>
      </c>
      <c r="E180">
        <v>2.8</v>
      </c>
      <c r="F180" t="s">
        <v>1082</v>
      </c>
      <c r="G180" s="1">
        <v>34173</v>
      </c>
      <c r="H180" t="s">
        <v>1084</v>
      </c>
      <c r="I180" t="s">
        <v>96</v>
      </c>
      <c r="J180" t="s">
        <v>47</v>
      </c>
      <c r="K180" t="s">
        <v>130</v>
      </c>
    </row>
    <row r="181" spans="1:39" x14ac:dyDescent="0.3">
      <c r="A181" t="s">
        <v>1085</v>
      </c>
      <c r="B181" t="s">
        <v>1023</v>
      </c>
      <c r="C181" t="s">
        <v>1086</v>
      </c>
      <c r="D181" t="s">
        <v>63</v>
      </c>
      <c r="E181">
        <v>2</v>
      </c>
      <c r="F181" t="s">
        <v>1085</v>
      </c>
      <c r="G181" t="s">
        <v>1087</v>
      </c>
      <c r="H181" t="s">
        <v>1088</v>
      </c>
      <c r="I181" t="s">
        <v>46</v>
      </c>
      <c r="J181" t="s">
        <v>67</v>
      </c>
      <c r="K181" t="s">
        <v>1089</v>
      </c>
      <c r="L181" t="s">
        <v>58</v>
      </c>
      <c r="M181">
        <v>45</v>
      </c>
      <c r="N181">
        <v>11</v>
      </c>
      <c r="O181">
        <v>5</v>
      </c>
      <c r="P181">
        <v>57</v>
      </c>
      <c r="Q181" t="s">
        <v>1090</v>
      </c>
      <c r="R181">
        <v>0</v>
      </c>
      <c r="S181">
        <v>0</v>
      </c>
      <c r="T181">
        <v>5</v>
      </c>
      <c r="U181">
        <v>0</v>
      </c>
      <c r="V181">
        <v>9.5</v>
      </c>
      <c r="W181">
        <v>76</v>
      </c>
      <c r="X181">
        <v>11</v>
      </c>
      <c r="Y181">
        <v>0</v>
      </c>
      <c r="Z181">
        <v>3</v>
      </c>
      <c r="AA181">
        <v>3</v>
      </c>
      <c r="AB181">
        <v>43</v>
      </c>
      <c r="AC181">
        <v>149.19999999999999</v>
      </c>
      <c r="AD181">
        <v>0</v>
      </c>
      <c r="AE181">
        <v>1236</v>
      </c>
      <c r="AF181">
        <v>40</v>
      </c>
      <c r="AG181" t="s">
        <v>1091</v>
      </c>
      <c r="AH181">
        <v>2</v>
      </c>
      <c r="AI181">
        <v>0</v>
      </c>
      <c r="AJ181">
        <v>30.9</v>
      </c>
      <c r="AK181">
        <v>8.27</v>
      </c>
      <c r="AL181">
        <v>22.4</v>
      </c>
      <c r="AM181">
        <v>43</v>
      </c>
    </row>
    <row r="182" spans="1:39" x14ac:dyDescent="0.3">
      <c r="A182" t="s">
        <v>1092</v>
      </c>
      <c r="B182" t="s">
        <v>1023</v>
      </c>
      <c r="C182" t="s">
        <v>1093</v>
      </c>
      <c r="D182" t="s">
        <v>85</v>
      </c>
      <c r="E182">
        <v>2</v>
      </c>
      <c r="F182" t="s">
        <v>1094</v>
      </c>
      <c r="G182" t="s">
        <v>1095</v>
      </c>
      <c r="H182" t="s">
        <v>1096</v>
      </c>
      <c r="I182" t="s">
        <v>46</v>
      </c>
      <c r="J182" t="s">
        <v>47</v>
      </c>
      <c r="M182">
        <v>8</v>
      </c>
      <c r="N182">
        <v>7</v>
      </c>
      <c r="O182">
        <v>2</v>
      </c>
      <c r="P182">
        <v>191</v>
      </c>
      <c r="Q182" t="s">
        <v>1097</v>
      </c>
      <c r="R182">
        <v>0</v>
      </c>
      <c r="S182">
        <v>1</v>
      </c>
      <c r="T182">
        <v>10</v>
      </c>
      <c r="U182">
        <v>8</v>
      </c>
      <c r="V182">
        <v>38.200000000000003</v>
      </c>
      <c r="W182">
        <v>122.43</v>
      </c>
      <c r="X182">
        <v>4</v>
      </c>
      <c r="Y182">
        <v>1</v>
      </c>
      <c r="Z182">
        <v>1</v>
      </c>
      <c r="AA182">
        <v>0</v>
      </c>
    </row>
    <row r="183" spans="1:39" x14ac:dyDescent="0.3">
      <c r="A183" t="s">
        <v>1098</v>
      </c>
      <c r="B183" t="s">
        <v>1023</v>
      </c>
      <c r="C183" t="s">
        <v>1099</v>
      </c>
      <c r="D183" t="s">
        <v>63</v>
      </c>
      <c r="E183">
        <v>2</v>
      </c>
      <c r="F183" t="s">
        <v>1098</v>
      </c>
      <c r="G183" t="s">
        <v>1100</v>
      </c>
      <c r="H183" t="s">
        <v>1101</v>
      </c>
      <c r="I183" t="s">
        <v>1102</v>
      </c>
      <c r="J183" t="s">
        <v>67</v>
      </c>
      <c r="K183" t="s">
        <v>366</v>
      </c>
      <c r="L183" t="s">
        <v>58</v>
      </c>
      <c r="M183">
        <v>38</v>
      </c>
      <c r="N183">
        <v>7</v>
      </c>
      <c r="O183">
        <v>6</v>
      </c>
      <c r="P183">
        <v>9</v>
      </c>
      <c r="Q183" t="s">
        <v>1103</v>
      </c>
      <c r="R183">
        <v>0</v>
      </c>
      <c r="S183">
        <v>0</v>
      </c>
      <c r="T183">
        <v>0</v>
      </c>
      <c r="U183">
        <v>1</v>
      </c>
      <c r="V183">
        <v>9</v>
      </c>
      <c r="W183">
        <v>52.94</v>
      </c>
      <c r="X183">
        <v>5</v>
      </c>
      <c r="Y183">
        <v>0</v>
      </c>
      <c r="Z183">
        <v>5</v>
      </c>
      <c r="AA183">
        <v>0</v>
      </c>
      <c r="AB183">
        <v>38</v>
      </c>
      <c r="AC183">
        <v>143</v>
      </c>
      <c r="AD183">
        <v>1</v>
      </c>
      <c r="AE183">
        <v>1121</v>
      </c>
      <c r="AF183">
        <v>38</v>
      </c>
      <c r="AG183" t="s">
        <v>218</v>
      </c>
      <c r="AH183">
        <v>3</v>
      </c>
      <c r="AI183">
        <v>0</v>
      </c>
      <c r="AJ183">
        <v>29.5</v>
      </c>
      <c r="AK183">
        <v>7.83</v>
      </c>
      <c r="AL183">
        <v>22.57</v>
      </c>
      <c r="AM183">
        <v>38</v>
      </c>
    </row>
    <row r="184" spans="1:39" x14ac:dyDescent="0.3">
      <c r="A184" t="s">
        <v>1104</v>
      </c>
      <c r="B184" t="s">
        <v>1023</v>
      </c>
      <c r="C184" t="s">
        <v>1105</v>
      </c>
      <c r="D184" t="s">
        <v>52</v>
      </c>
      <c r="E184">
        <v>1.1000000000000001</v>
      </c>
      <c r="F184" t="s">
        <v>1106</v>
      </c>
      <c r="G184" t="s">
        <v>1107</v>
      </c>
      <c r="H184" t="s">
        <v>1108</v>
      </c>
      <c r="I184" t="s">
        <v>46</v>
      </c>
      <c r="J184" t="s">
        <v>47</v>
      </c>
      <c r="K184" t="s">
        <v>68</v>
      </c>
      <c r="L184" t="s">
        <v>58</v>
      </c>
      <c r="M184">
        <v>11</v>
      </c>
      <c r="N184">
        <v>7</v>
      </c>
      <c r="O184">
        <v>3</v>
      </c>
      <c r="P184">
        <v>22</v>
      </c>
      <c r="Q184" t="s">
        <v>1109</v>
      </c>
      <c r="R184">
        <v>0</v>
      </c>
      <c r="S184">
        <v>0</v>
      </c>
      <c r="T184">
        <v>1</v>
      </c>
      <c r="U184">
        <v>0</v>
      </c>
      <c r="V184">
        <v>5.5</v>
      </c>
      <c r="W184">
        <v>66.66</v>
      </c>
      <c r="X184">
        <v>4</v>
      </c>
      <c r="Y184">
        <v>0</v>
      </c>
      <c r="Z184">
        <v>2</v>
      </c>
      <c r="AA184">
        <v>0</v>
      </c>
      <c r="AB184">
        <v>10</v>
      </c>
      <c r="AC184">
        <v>28</v>
      </c>
      <c r="AD184">
        <v>0</v>
      </c>
      <c r="AE184">
        <v>256</v>
      </c>
      <c r="AF184">
        <v>5</v>
      </c>
      <c r="AG184" t="s">
        <v>1110</v>
      </c>
      <c r="AH184">
        <v>0</v>
      </c>
      <c r="AI184">
        <v>0</v>
      </c>
      <c r="AJ184">
        <v>51.2</v>
      </c>
      <c r="AK184">
        <v>9.14</v>
      </c>
      <c r="AL184">
        <v>33.6</v>
      </c>
      <c r="AM184">
        <v>10</v>
      </c>
    </row>
    <row r="185" spans="1:39" x14ac:dyDescent="0.3">
      <c r="A185" t="s">
        <v>1111</v>
      </c>
      <c r="B185" t="s">
        <v>1023</v>
      </c>
      <c r="C185" t="s">
        <v>1112</v>
      </c>
      <c r="D185" t="s">
        <v>42</v>
      </c>
      <c r="E185">
        <v>1.1000000000000001</v>
      </c>
      <c r="F185" t="s">
        <v>1111</v>
      </c>
      <c r="G185" t="s">
        <v>1113</v>
      </c>
      <c r="H185" t="s">
        <v>1114</v>
      </c>
      <c r="I185" t="s">
        <v>46</v>
      </c>
      <c r="J185" t="s">
        <v>47</v>
      </c>
      <c r="K185" t="s">
        <v>89</v>
      </c>
      <c r="L185" t="s">
        <v>58</v>
      </c>
      <c r="M185">
        <v>105</v>
      </c>
      <c r="N185">
        <v>92</v>
      </c>
      <c r="O185">
        <v>16</v>
      </c>
      <c r="P185">
        <v>1674</v>
      </c>
      <c r="Q185" t="s">
        <v>1115</v>
      </c>
      <c r="R185">
        <v>0</v>
      </c>
      <c r="S185">
        <v>6</v>
      </c>
      <c r="T185">
        <v>172</v>
      </c>
      <c r="U185">
        <v>37</v>
      </c>
      <c r="V185">
        <v>22.02</v>
      </c>
      <c r="W185">
        <v>124.09</v>
      </c>
      <c r="X185">
        <v>37</v>
      </c>
      <c r="Y185">
        <v>0</v>
      </c>
      <c r="Z185">
        <v>12</v>
      </c>
      <c r="AA185">
        <v>3</v>
      </c>
      <c r="AB185">
        <v>2</v>
      </c>
      <c r="AC185">
        <v>2</v>
      </c>
      <c r="AD185">
        <v>0</v>
      </c>
      <c r="AE185">
        <v>26</v>
      </c>
      <c r="AF185">
        <v>0</v>
      </c>
      <c r="AG185" t="s">
        <v>1116</v>
      </c>
      <c r="AH185">
        <v>0</v>
      </c>
      <c r="AI185">
        <v>0</v>
      </c>
      <c r="AK185">
        <v>13</v>
      </c>
      <c r="AM185">
        <v>2</v>
      </c>
    </row>
    <row r="186" spans="1:39" x14ac:dyDescent="0.3">
      <c r="A186" t="s">
        <v>1117</v>
      </c>
      <c r="B186" t="s">
        <v>1023</v>
      </c>
      <c r="C186" t="s">
        <v>1118</v>
      </c>
      <c r="D186" t="s">
        <v>52</v>
      </c>
      <c r="E186">
        <v>0.65</v>
      </c>
      <c r="F186" t="s">
        <v>1117</v>
      </c>
      <c r="G186" t="s">
        <v>1119</v>
      </c>
      <c r="H186" t="s">
        <v>1120</v>
      </c>
      <c r="I186" t="s">
        <v>46</v>
      </c>
      <c r="J186" t="s">
        <v>47</v>
      </c>
      <c r="K186" t="s">
        <v>48</v>
      </c>
      <c r="L186" t="s">
        <v>58</v>
      </c>
      <c r="M186">
        <v>7</v>
      </c>
      <c r="N186">
        <v>5</v>
      </c>
      <c r="O186">
        <v>3</v>
      </c>
      <c r="P186">
        <v>68</v>
      </c>
      <c r="Q186" t="s">
        <v>1121</v>
      </c>
      <c r="R186">
        <v>0</v>
      </c>
      <c r="S186">
        <v>0</v>
      </c>
      <c r="T186">
        <v>7</v>
      </c>
      <c r="U186">
        <v>0</v>
      </c>
      <c r="V186">
        <v>34</v>
      </c>
      <c r="W186">
        <v>93.15</v>
      </c>
      <c r="X186">
        <v>5</v>
      </c>
      <c r="Y186">
        <v>0</v>
      </c>
      <c r="Z186">
        <v>1</v>
      </c>
      <c r="AA186">
        <v>0</v>
      </c>
      <c r="AB186">
        <v>5</v>
      </c>
      <c r="AC186">
        <v>14</v>
      </c>
      <c r="AD186">
        <v>0</v>
      </c>
      <c r="AE186">
        <v>101</v>
      </c>
      <c r="AF186">
        <v>4</v>
      </c>
      <c r="AG186" t="s">
        <v>1122</v>
      </c>
      <c r="AH186">
        <v>0</v>
      </c>
      <c r="AI186">
        <v>0</v>
      </c>
      <c r="AJ186">
        <v>25.25</v>
      </c>
      <c r="AK186">
        <v>7.21</v>
      </c>
      <c r="AL186">
        <v>21</v>
      </c>
      <c r="AM186">
        <v>5</v>
      </c>
    </row>
    <row r="187" spans="1:39" x14ac:dyDescent="0.3">
      <c r="A187" t="s">
        <v>1123</v>
      </c>
      <c r="B187" t="s">
        <v>1023</v>
      </c>
      <c r="C187" t="s">
        <v>1124</v>
      </c>
      <c r="D187" t="s">
        <v>52</v>
      </c>
      <c r="E187">
        <v>0.5</v>
      </c>
      <c r="F187" t="s">
        <v>1125</v>
      </c>
      <c r="G187" s="1">
        <v>37571</v>
      </c>
      <c r="H187" t="s">
        <v>1126</v>
      </c>
      <c r="I187" t="s">
        <v>46</v>
      </c>
      <c r="J187" t="s">
        <v>47</v>
      </c>
      <c r="K187" t="s">
        <v>48</v>
      </c>
    </row>
    <row r="188" spans="1:39" x14ac:dyDescent="0.3">
      <c r="A188" t="s">
        <v>1127</v>
      </c>
      <c r="B188" t="s">
        <v>1023</v>
      </c>
      <c r="C188" t="s">
        <v>1128</v>
      </c>
      <c r="D188" t="s">
        <v>63</v>
      </c>
      <c r="E188">
        <v>0.5</v>
      </c>
      <c r="F188" t="s">
        <v>1129</v>
      </c>
      <c r="G188" t="s">
        <v>1130</v>
      </c>
      <c r="H188" t="s">
        <v>1131</v>
      </c>
      <c r="I188" t="s">
        <v>66</v>
      </c>
      <c r="J188" t="s">
        <v>47</v>
      </c>
      <c r="K188" t="s">
        <v>124</v>
      </c>
      <c r="L188" t="s">
        <v>58</v>
      </c>
      <c r="M188">
        <v>14</v>
      </c>
      <c r="N188">
        <v>0</v>
      </c>
      <c r="O188">
        <v>0</v>
      </c>
      <c r="R188">
        <v>0</v>
      </c>
      <c r="S188">
        <v>0</v>
      </c>
      <c r="T188">
        <v>0</v>
      </c>
      <c r="U188">
        <v>0</v>
      </c>
      <c r="W188">
        <v>0</v>
      </c>
      <c r="X188">
        <v>2</v>
      </c>
      <c r="Y188">
        <v>0</v>
      </c>
      <c r="Z188">
        <v>0</v>
      </c>
      <c r="AA188">
        <v>0</v>
      </c>
      <c r="AB188">
        <v>14</v>
      </c>
      <c r="AC188">
        <v>54</v>
      </c>
      <c r="AD188">
        <v>2</v>
      </c>
      <c r="AE188">
        <v>448</v>
      </c>
      <c r="AF188">
        <v>25</v>
      </c>
      <c r="AG188" t="s">
        <v>1132</v>
      </c>
      <c r="AH188">
        <v>3</v>
      </c>
      <c r="AI188">
        <v>0</v>
      </c>
      <c r="AJ188">
        <v>17.920000000000002</v>
      </c>
      <c r="AK188">
        <v>8.2899999999999991</v>
      </c>
      <c r="AL188">
        <v>12.96</v>
      </c>
      <c r="AM188">
        <v>14</v>
      </c>
    </row>
    <row r="189" spans="1:39" x14ac:dyDescent="0.3">
      <c r="A189" t="s">
        <v>1133</v>
      </c>
      <c r="B189" t="s">
        <v>1023</v>
      </c>
      <c r="C189" t="s">
        <v>1134</v>
      </c>
      <c r="D189" t="s">
        <v>85</v>
      </c>
      <c r="E189">
        <v>0.5</v>
      </c>
      <c r="F189" t="s">
        <v>1135</v>
      </c>
      <c r="G189" t="s">
        <v>1136</v>
      </c>
      <c r="H189" t="s">
        <v>1088</v>
      </c>
      <c r="I189" t="s">
        <v>205</v>
      </c>
      <c r="J189" t="s">
        <v>47</v>
      </c>
      <c r="M189">
        <v>1</v>
      </c>
      <c r="N189">
        <v>1</v>
      </c>
      <c r="O189">
        <v>0</v>
      </c>
      <c r="P189">
        <v>2</v>
      </c>
      <c r="Q189" t="s">
        <v>1137</v>
      </c>
      <c r="R189">
        <v>0</v>
      </c>
      <c r="S189">
        <v>0</v>
      </c>
      <c r="T189">
        <v>0</v>
      </c>
      <c r="U189">
        <v>0</v>
      </c>
      <c r="V189">
        <v>2</v>
      </c>
      <c r="W189">
        <v>50</v>
      </c>
      <c r="Z189">
        <v>0</v>
      </c>
      <c r="AA189">
        <v>1</v>
      </c>
    </row>
    <row r="190" spans="1:39" x14ac:dyDescent="0.3">
      <c r="A190" t="s">
        <v>1138</v>
      </c>
      <c r="B190" t="s">
        <v>1023</v>
      </c>
      <c r="C190" t="s">
        <v>1139</v>
      </c>
      <c r="D190" t="s">
        <v>52</v>
      </c>
      <c r="E190">
        <v>0.5</v>
      </c>
      <c r="F190" t="s">
        <v>1138</v>
      </c>
      <c r="G190" t="s">
        <v>1140</v>
      </c>
      <c r="H190" t="s">
        <v>1141</v>
      </c>
      <c r="I190" t="s">
        <v>46</v>
      </c>
      <c r="J190" t="s">
        <v>47</v>
      </c>
      <c r="K190" t="s">
        <v>102</v>
      </c>
      <c r="L190" t="s">
        <v>58</v>
      </c>
      <c r="M190">
        <v>3</v>
      </c>
      <c r="N190">
        <v>1</v>
      </c>
      <c r="O190">
        <v>1</v>
      </c>
      <c r="P190">
        <v>7</v>
      </c>
      <c r="Q190" t="s">
        <v>1142</v>
      </c>
      <c r="R190">
        <v>0</v>
      </c>
      <c r="S190">
        <v>0</v>
      </c>
      <c r="T190">
        <v>0</v>
      </c>
      <c r="U190">
        <v>0</v>
      </c>
      <c r="W190">
        <v>53.84</v>
      </c>
      <c r="X190">
        <v>1</v>
      </c>
      <c r="Y190">
        <v>0</v>
      </c>
      <c r="Z190">
        <v>0</v>
      </c>
      <c r="AA190">
        <v>0</v>
      </c>
      <c r="AB190">
        <v>3</v>
      </c>
      <c r="AC190">
        <v>8</v>
      </c>
      <c r="AD190">
        <v>0</v>
      </c>
      <c r="AE190">
        <v>72</v>
      </c>
      <c r="AF190">
        <v>0</v>
      </c>
      <c r="AG190" t="s">
        <v>1143</v>
      </c>
      <c r="AH190">
        <v>0</v>
      </c>
      <c r="AI190">
        <v>0</v>
      </c>
      <c r="AK190">
        <v>9</v>
      </c>
      <c r="AM190">
        <v>3</v>
      </c>
    </row>
    <row r="191" spans="1:39" x14ac:dyDescent="0.3">
      <c r="A191" t="s">
        <v>1144</v>
      </c>
      <c r="B191" t="s">
        <v>1023</v>
      </c>
      <c r="C191" t="s">
        <v>1145</v>
      </c>
      <c r="D191" t="s">
        <v>42</v>
      </c>
      <c r="E191">
        <v>0.2</v>
      </c>
      <c r="F191" t="s">
        <v>1146</v>
      </c>
      <c r="G191" t="s">
        <v>1147</v>
      </c>
      <c r="H191" t="s">
        <v>1148</v>
      </c>
      <c r="I191" t="s">
        <v>46</v>
      </c>
      <c r="J191" t="s">
        <v>47</v>
      </c>
      <c r="K191" t="s">
        <v>89</v>
      </c>
    </row>
    <row r="192" spans="1:39" x14ac:dyDescent="0.3">
      <c r="A192" t="s">
        <v>1149</v>
      </c>
      <c r="B192" t="s">
        <v>1023</v>
      </c>
      <c r="C192" t="s">
        <v>1150</v>
      </c>
      <c r="D192" t="s">
        <v>52</v>
      </c>
      <c r="E192">
        <v>0.2</v>
      </c>
      <c r="F192" t="s">
        <v>1151</v>
      </c>
      <c r="G192" t="s">
        <v>1152</v>
      </c>
      <c r="H192" t="s">
        <v>1153</v>
      </c>
      <c r="I192" t="s">
        <v>46</v>
      </c>
      <c r="J192" t="s">
        <v>47</v>
      </c>
      <c r="K192" t="s">
        <v>130</v>
      </c>
      <c r="L192" t="s">
        <v>58</v>
      </c>
      <c r="M192">
        <v>2</v>
      </c>
      <c r="N192">
        <v>2</v>
      </c>
      <c r="O192">
        <v>1</v>
      </c>
      <c r="P192">
        <v>25</v>
      </c>
      <c r="Q192" t="s">
        <v>1154</v>
      </c>
      <c r="R192">
        <v>0</v>
      </c>
      <c r="S192">
        <v>0</v>
      </c>
      <c r="T192">
        <v>3</v>
      </c>
      <c r="U192">
        <v>0</v>
      </c>
      <c r="V192">
        <v>25</v>
      </c>
      <c r="W192">
        <v>92.59</v>
      </c>
      <c r="Z192">
        <v>0</v>
      </c>
      <c r="AA192">
        <v>0</v>
      </c>
      <c r="AB192">
        <v>1</v>
      </c>
      <c r="AC192">
        <v>3</v>
      </c>
      <c r="AD192">
        <v>0</v>
      </c>
      <c r="AE192">
        <v>22</v>
      </c>
      <c r="AF192">
        <v>0</v>
      </c>
      <c r="AG192" t="s">
        <v>1155</v>
      </c>
      <c r="AH192">
        <v>0</v>
      </c>
      <c r="AI192">
        <v>0</v>
      </c>
      <c r="AK192">
        <v>7.33</v>
      </c>
      <c r="AM192">
        <v>1</v>
      </c>
    </row>
    <row r="193" spans="1:39" x14ac:dyDescent="0.3">
      <c r="A193" t="s">
        <v>1156</v>
      </c>
      <c r="B193" t="s">
        <v>1023</v>
      </c>
      <c r="C193" t="s">
        <v>1157</v>
      </c>
      <c r="D193" t="s">
        <v>52</v>
      </c>
      <c r="E193">
        <v>0.2</v>
      </c>
      <c r="F193" t="s">
        <v>1158</v>
      </c>
      <c r="G193" s="1">
        <v>37500</v>
      </c>
      <c r="H193" t="s">
        <v>1159</v>
      </c>
      <c r="I193" t="s">
        <v>46</v>
      </c>
      <c r="J193" t="s">
        <v>47</v>
      </c>
      <c r="K193" t="s">
        <v>116</v>
      </c>
    </row>
    <row r="194" spans="1:39" x14ac:dyDescent="0.3">
      <c r="A194" t="s">
        <v>1160</v>
      </c>
      <c r="B194" t="s">
        <v>1023</v>
      </c>
      <c r="C194" t="s">
        <v>1161</v>
      </c>
      <c r="D194" t="s">
        <v>52</v>
      </c>
      <c r="E194">
        <v>0.2</v>
      </c>
      <c r="F194" t="s">
        <v>1162</v>
      </c>
      <c r="G194" t="s">
        <v>1163</v>
      </c>
      <c r="H194" t="s">
        <v>1164</v>
      </c>
      <c r="I194" t="s">
        <v>46</v>
      </c>
      <c r="J194" t="s">
        <v>47</v>
      </c>
      <c r="K194" t="s">
        <v>57</v>
      </c>
      <c r="L194" t="s">
        <v>58</v>
      </c>
      <c r="M194">
        <v>40</v>
      </c>
      <c r="N194">
        <v>28</v>
      </c>
      <c r="O194">
        <v>9</v>
      </c>
      <c r="P194">
        <v>441</v>
      </c>
      <c r="Q194" t="s">
        <v>1165</v>
      </c>
      <c r="R194">
        <v>0</v>
      </c>
      <c r="S194">
        <v>1</v>
      </c>
      <c r="T194">
        <v>50</v>
      </c>
      <c r="U194">
        <v>11</v>
      </c>
      <c r="V194">
        <v>23.21</v>
      </c>
      <c r="W194">
        <v>138.24</v>
      </c>
      <c r="X194">
        <v>6</v>
      </c>
      <c r="Y194">
        <v>0</v>
      </c>
      <c r="Z194">
        <v>4</v>
      </c>
      <c r="AA194">
        <v>1</v>
      </c>
      <c r="AB194">
        <v>1</v>
      </c>
      <c r="AC194">
        <v>0.2</v>
      </c>
      <c r="AD194">
        <v>0</v>
      </c>
      <c r="AE194">
        <v>6</v>
      </c>
      <c r="AF194">
        <v>0</v>
      </c>
      <c r="AG194" t="s">
        <v>1166</v>
      </c>
      <c r="AH194">
        <v>0</v>
      </c>
      <c r="AI194">
        <v>0</v>
      </c>
      <c r="AK194">
        <v>18</v>
      </c>
      <c r="AM194">
        <v>1</v>
      </c>
    </row>
    <row r="195" spans="1:39" x14ac:dyDescent="0.3">
      <c r="A195" t="s">
        <v>1167</v>
      </c>
      <c r="B195" t="s">
        <v>1168</v>
      </c>
      <c r="C195" t="s">
        <v>1169</v>
      </c>
      <c r="D195" t="s">
        <v>1170</v>
      </c>
      <c r="E195">
        <v>17</v>
      </c>
      <c r="F195" t="s">
        <v>1171</v>
      </c>
      <c r="G195" t="s">
        <v>1172</v>
      </c>
      <c r="H195" t="s">
        <v>1173</v>
      </c>
      <c r="I195" t="s">
        <v>46</v>
      </c>
      <c r="J195" t="s">
        <v>47</v>
      </c>
      <c r="M195">
        <v>94</v>
      </c>
      <c r="N195">
        <v>85</v>
      </c>
      <c r="O195">
        <v>16</v>
      </c>
      <c r="P195">
        <v>3273</v>
      </c>
      <c r="Q195" t="s">
        <v>1174</v>
      </c>
      <c r="R195">
        <v>2</v>
      </c>
      <c r="S195">
        <v>27</v>
      </c>
      <c r="T195">
        <v>282</v>
      </c>
      <c r="U195">
        <v>134</v>
      </c>
      <c r="V195">
        <v>47.43</v>
      </c>
      <c r="W195">
        <v>136.37</v>
      </c>
      <c r="X195">
        <v>50</v>
      </c>
      <c r="Y195">
        <v>5</v>
      </c>
      <c r="Z195">
        <v>2</v>
      </c>
      <c r="AA195">
        <v>2</v>
      </c>
    </row>
    <row r="196" spans="1:39" x14ac:dyDescent="0.3">
      <c r="A196" t="s">
        <v>1175</v>
      </c>
      <c r="B196" t="s">
        <v>1168</v>
      </c>
      <c r="C196" t="s">
        <v>1176</v>
      </c>
      <c r="D196" t="s">
        <v>63</v>
      </c>
      <c r="E196">
        <v>10</v>
      </c>
      <c r="F196" t="s">
        <v>1175</v>
      </c>
      <c r="G196" t="s">
        <v>1177</v>
      </c>
      <c r="H196" t="s">
        <v>1178</v>
      </c>
      <c r="I196" t="s">
        <v>46</v>
      </c>
      <c r="J196" t="s">
        <v>47</v>
      </c>
      <c r="K196" t="s">
        <v>130</v>
      </c>
      <c r="L196" t="s">
        <v>58</v>
      </c>
      <c r="M196">
        <v>25</v>
      </c>
      <c r="N196">
        <v>2</v>
      </c>
      <c r="O196">
        <v>1</v>
      </c>
      <c r="P196">
        <v>9</v>
      </c>
      <c r="Q196" t="s">
        <v>1179</v>
      </c>
      <c r="R196">
        <v>0</v>
      </c>
      <c r="S196">
        <v>0</v>
      </c>
      <c r="T196">
        <v>2</v>
      </c>
      <c r="U196">
        <v>0</v>
      </c>
      <c r="V196">
        <v>9</v>
      </c>
      <c r="W196">
        <v>150</v>
      </c>
      <c r="X196">
        <v>5</v>
      </c>
      <c r="Y196">
        <v>0</v>
      </c>
      <c r="Z196">
        <v>0</v>
      </c>
      <c r="AA196">
        <v>1</v>
      </c>
      <c r="AB196">
        <v>25</v>
      </c>
      <c r="AC196">
        <v>91</v>
      </c>
      <c r="AD196">
        <v>0</v>
      </c>
      <c r="AE196">
        <v>749</v>
      </c>
      <c r="AF196">
        <v>29</v>
      </c>
      <c r="AG196" t="s">
        <v>1180</v>
      </c>
      <c r="AH196">
        <v>4</v>
      </c>
      <c r="AI196">
        <v>0</v>
      </c>
      <c r="AJ196">
        <v>25.82</v>
      </c>
      <c r="AK196">
        <v>8.23</v>
      </c>
      <c r="AL196">
        <v>18.82</v>
      </c>
      <c r="AM196">
        <v>25</v>
      </c>
    </row>
    <row r="197" spans="1:39" x14ac:dyDescent="0.3">
      <c r="A197" t="s">
        <v>1181</v>
      </c>
      <c r="B197" t="s">
        <v>1168</v>
      </c>
      <c r="C197" t="s">
        <v>1182</v>
      </c>
      <c r="D197" t="s">
        <v>52</v>
      </c>
      <c r="E197">
        <v>9.1999999999999993</v>
      </c>
      <c r="F197" t="s">
        <v>1183</v>
      </c>
      <c r="G197" t="s">
        <v>1184</v>
      </c>
      <c r="H197" t="s">
        <v>1185</v>
      </c>
      <c r="I197" t="s">
        <v>135</v>
      </c>
      <c r="J197" t="s">
        <v>47</v>
      </c>
      <c r="K197" t="s">
        <v>89</v>
      </c>
      <c r="L197" t="s">
        <v>58</v>
      </c>
      <c r="M197">
        <v>56</v>
      </c>
      <c r="N197">
        <v>49</v>
      </c>
      <c r="O197">
        <v>16</v>
      </c>
      <c r="P197">
        <v>914</v>
      </c>
      <c r="Q197" t="s">
        <v>1186</v>
      </c>
      <c r="R197">
        <v>0</v>
      </c>
      <c r="S197">
        <v>4</v>
      </c>
      <c r="T197">
        <v>76</v>
      </c>
      <c r="U197">
        <v>35</v>
      </c>
      <c r="V197">
        <v>27.69</v>
      </c>
      <c r="W197">
        <v>135.81</v>
      </c>
      <c r="X197">
        <v>12</v>
      </c>
      <c r="Y197">
        <v>0</v>
      </c>
      <c r="Z197">
        <v>5</v>
      </c>
      <c r="AA197">
        <v>2</v>
      </c>
      <c r="AB197">
        <v>45</v>
      </c>
      <c r="AC197">
        <v>102</v>
      </c>
      <c r="AD197">
        <v>0</v>
      </c>
      <c r="AE197">
        <v>969</v>
      </c>
      <c r="AF197">
        <v>30</v>
      </c>
      <c r="AG197" t="s">
        <v>1187</v>
      </c>
      <c r="AH197">
        <v>2</v>
      </c>
      <c r="AI197">
        <v>0</v>
      </c>
      <c r="AJ197">
        <v>32.299999999999997</v>
      </c>
      <c r="AK197">
        <v>9.5</v>
      </c>
      <c r="AL197">
        <v>20.399999999999999</v>
      </c>
      <c r="AM197">
        <v>45</v>
      </c>
    </row>
    <row r="198" spans="1:39" x14ac:dyDescent="0.3">
      <c r="A198" t="s">
        <v>1188</v>
      </c>
      <c r="B198" t="s">
        <v>1168</v>
      </c>
      <c r="C198" t="s">
        <v>1189</v>
      </c>
      <c r="D198" t="s">
        <v>52</v>
      </c>
      <c r="E198">
        <v>8.75</v>
      </c>
      <c r="F198" t="s">
        <v>1190</v>
      </c>
      <c r="G198" t="s">
        <v>1191</v>
      </c>
      <c r="H198" t="s">
        <v>1192</v>
      </c>
      <c r="I198" t="s">
        <v>96</v>
      </c>
      <c r="J198" t="s">
        <v>47</v>
      </c>
      <c r="K198" t="s">
        <v>130</v>
      </c>
      <c r="L198" t="s">
        <v>58</v>
      </c>
      <c r="M198">
        <v>26</v>
      </c>
      <c r="N198">
        <v>16</v>
      </c>
      <c r="O198">
        <v>3</v>
      </c>
      <c r="P198">
        <v>189</v>
      </c>
      <c r="Q198" t="s">
        <v>1193</v>
      </c>
      <c r="R198">
        <v>0</v>
      </c>
      <c r="S198">
        <v>0</v>
      </c>
      <c r="T198">
        <v>11</v>
      </c>
      <c r="U198">
        <v>11</v>
      </c>
      <c r="V198">
        <v>14.53</v>
      </c>
      <c r="W198">
        <v>121.15</v>
      </c>
      <c r="X198">
        <v>7</v>
      </c>
      <c r="Y198">
        <v>0</v>
      </c>
      <c r="Z198">
        <v>1</v>
      </c>
      <c r="AA198">
        <v>2</v>
      </c>
      <c r="AB198">
        <v>26</v>
      </c>
      <c r="AC198">
        <v>95.5</v>
      </c>
      <c r="AD198">
        <v>0</v>
      </c>
      <c r="AE198">
        <v>786</v>
      </c>
      <c r="AF198">
        <v>35</v>
      </c>
      <c r="AG198" t="s">
        <v>1194</v>
      </c>
      <c r="AH198">
        <v>5</v>
      </c>
      <c r="AI198">
        <v>0</v>
      </c>
      <c r="AJ198">
        <v>22.45</v>
      </c>
      <c r="AK198">
        <v>8.1999999999999993</v>
      </c>
      <c r="AL198">
        <v>16.420000000000002</v>
      </c>
      <c r="AM198">
        <v>26</v>
      </c>
    </row>
    <row r="199" spans="1:39" x14ac:dyDescent="0.3">
      <c r="A199" t="s">
        <v>1195</v>
      </c>
      <c r="B199" t="s">
        <v>1168</v>
      </c>
      <c r="C199" t="s">
        <v>1196</v>
      </c>
      <c r="D199" t="s">
        <v>52</v>
      </c>
      <c r="E199">
        <v>8.25</v>
      </c>
      <c r="F199" t="s">
        <v>1197</v>
      </c>
      <c r="G199" t="s">
        <v>1198</v>
      </c>
      <c r="H199" t="s">
        <v>1199</v>
      </c>
      <c r="I199" t="s">
        <v>46</v>
      </c>
      <c r="J199" t="s">
        <v>67</v>
      </c>
      <c r="K199" t="s">
        <v>116</v>
      </c>
      <c r="L199" t="s">
        <v>58</v>
      </c>
      <c r="M199">
        <v>84</v>
      </c>
      <c r="N199">
        <v>72</v>
      </c>
      <c r="O199">
        <v>22</v>
      </c>
      <c r="P199">
        <v>1143</v>
      </c>
      <c r="Q199" t="s">
        <v>1200</v>
      </c>
      <c r="R199">
        <v>0</v>
      </c>
      <c r="S199">
        <v>1</v>
      </c>
      <c r="T199">
        <v>105</v>
      </c>
      <c r="U199">
        <v>46</v>
      </c>
      <c r="V199">
        <v>22.86</v>
      </c>
      <c r="W199">
        <v>138.54</v>
      </c>
      <c r="X199">
        <v>28</v>
      </c>
      <c r="Y199">
        <v>0</v>
      </c>
      <c r="Z199">
        <v>6</v>
      </c>
      <c r="AA199">
        <v>4</v>
      </c>
      <c r="AB199">
        <v>81</v>
      </c>
      <c r="AC199">
        <v>240.4</v>
      </c>
      <c r="AD199">
        <v>0</v>
      </c>
      <c r="AE199">
        <v>1773</v>
      </c>
      <c r="AF199">
        <v>51</v>
      </c>
      <c r="AG199" t="s">
        <v>1201</v>
      </c>
      <c r="AH199">
        <v>4</v>
      </c>
      <c r="AI199">
        <v>0</v>
      </c>
      <c r="AJ199">
        <v>34.76</v>
      </c>
      <c r="AK199">
        <v>7.36</v>
      </c>
      <c r="AL199">
        <v>28.31</v>
      </c>
      <c r="AM199">
        <v>81</v>
      </c>
    </row>
    <row r="200" spans="1:39" x14ac:dyDescent="0.3">
      <c r="A200" t="s">
        <v>1202</v>
      </c>
      <c r="B200" t="s">
        <v>1168</v>
      </c>
      <c r="C200" t="s">
        <v>1203</v>
      </c>
      <c r="D200" t="s">
        <v>63</v>
      </c>
      <c r="E200">
        <v>7.5</v>
      </c>
      <c r="F200" t="s">
        <v>1204</v>
      </c>
      <c r="G200" t="s">
        <v>1205</v>
      </c>
      <c r="H200" t="s">
        <v>1206</v>
      </c>
      <c r="I200" t="s">
        <v>56</v>
      </c>
      <c r="J200" t="s">
        <v>47</v>
      </c>
      <c r="K200" t="s">
        <v>68</v>
      </c>
      <c r="L200" t="s">
        <v>58</v>
      </c>
      <c r="M200">
        <v>1</v>
      </c>
      <c r="N200">
        <v>1</v>
      </c>
      <c r="O200">
        <v>0</v>
      </c>
      <c r="P200">
        <v>1</v>
      </c>
      <c r="Q200" t="s">
        <v>1074</v>
      </c>
      <c r="R200">
        <v>0</v>
      </c>
      <c r="S200">
        <v>0</v>
      </c>
      <c r="T200">
        <v>0</v>
      </c>
      <c r="U200">
        <v>0</v>
      </c>
      <c r="V200">
        <v>1</v>
      </c>
      <c r="W200">
        <v>33.33</v>
      </c>
      <c r="X200">
        <v>1</v>
      </c>
      <c r="Y200">
        <v>0</v>
      </c>
      <c r="Z200">
        <v>0</v>
      </c>
      <c r="AA200">
        <v>0</v>
      </c>
      <c r="AB200">
        <v>1</v>
      </c>
      <c r="AC200">
        <v>4</v>
      </c>
      <c r="AD200">
        <v>0</v>
      </c>
      <c r="AE200">
        <v>49</v>
      </c>
      <c r="AF200">
        <v>0</v>
      </c>
      <c r="AG200" t="s">
        <v>1207</v>
      </c>
      <c r="AH200">
        <v>0</v>
      </c>
      <c r="AI200">
        <v>0</v>
      </c>
      <c r="AK200">
        <v>12.25</v>
      </c>
      <c r="AM200">
        <v>1</v>
      </c>
    </row>
    <row r="201" spans="1:39" x14ac:dyDescent="0.3">
      <c r="A201" t="s">
        <v>1208</v>
      </c>
      <c r="B201" t="s">
        <v>1168</v>
      </c>
      <c r="C201" t="s">
        <v>1209</v>
      </c>
      <c r="D201" t="s">
        <v>85</v>
      </c>
      <c r="E201">
        <v>6.75</v>
      </c>
      <c r="F201" t="s">
        <v>1208</v>
      </c>
      <c r="G201" t="s">
        <v>1210</v>
      </c>
      <c r="H201" t="s">
        <v>1211</v>
      </c>
      <c r="I201" t="s">
        <v>66</v>
      </c>
      <c r="J201" t="s">
        <v>67</v>
      </c>
      <c r="M201">
        <v>77</v>
      </c>
      <c r="N201">
        <v>77</v>
      </c>
      <c r="O201">
        <v>5</v>
      </c>
      <c r="P201">
        <v>2256</v>
      </c>
      <c r="Q201" t="s">
        <v>1212</v>
      </c>
      <c r="R201">
        <v>1</v>
      </c>
      <c r="S201">
        <v>16</v>
      </c>
      <c r="T201">
        <v>230</v>
      </c>
      <c r="U201">
        <v>83</v>
      </c>
      <c r="V201">
        <v>31.33</v>
      </c>
      <c r="W201">
        <v>130.93</v>
      </c>
      <c r="X201">
        <v>53</v>
      </c>
      <c r="Y201">
        <v>14</v>
      </c>
      <c r="Z201">
        <v>3</v>
      </c>
      <c r="AA201">
        <v>3</v>
      </c>
    </row>
    <row r="202" spans="1:39" x14ac:dyDescent="0.3">
      <c r="A202" t="s">
        <v>1213</v>
      </c>
      <c r="B202" t="s">
        <v>1168</v>
      </c>
      <c r="C202" t="s">
        <v>1214</v>
      </c>
      <c r="D202" t="s">
        <v>52</v>
      </c>
      <c r="E202">
        <v>5.75</v>
      </c>
      <c r="F202" t="s">
        <v>1215</v>
      </c>
      <c r="G202" t="s">
        <v>1216</v>
      </c>
      <c r="H202" t="s">
        <v>1217</v>
      </c>
      <c r="I202" t="s">
        <v>46</v>
      </c>
      <c r="J202" t="s">
        <v>47</v>
      </c>
      <c r="K202" t="s">
        <v>48</v>
      </c>
      <c r="L202" t="s">
        <v>58</v>
      </c>
      <c r="M202">
        <v>80</v>
      </c>
      <c r="N202">
        <v>61</v>
      </c>
      <c r="O202">
        <v>14</v>
      </c>
      <c r="P202">
        <v>785</v>
      </c>
      <c r="Q202" t="s">
        <v>1218</v>
      </c>
      <c r="R202">
        <v>0</v>
      </c>
      <c r="S202">
        <v>3</v>
      </c>
      <c r="T202">
        <v>41</v>
      </c>
      <c r="U202">
        <v>38</v>
      </c>
      <c r="V202">
        <v>16.7</v>
      </c>
      <c r="W202">
        <v>129.53</v>
      </c>
      <c r="X202">
        <v>32</v>
      </c>
      <c r="Y202">
        <v>0</v>
      </c>
      <c r="Z202">
        <v>3</v>
      </c>
      <c r="AA202">
        <v>7</v>
      </c>
      <c r="AB202">
        <v>28</v>
      </c>
      <c r="AC202">
        <v>54.1</v>
      </c>
      <c r="AD202">
        <v>0</v>
      </c>
      <c r="AE202">
        <v>458</v>
      </c>
      <c r="AF202">
        <v>9</v>
      </c>
      <c r="AG202" t="s">
        <v>1219</v>
      </c>
      <c r="AH202">
        <v>0</v>
      </c>
      <c r="AI202">
        <v>0</v>
      </c>
      <c r="AJ202">
        <v>50.88</v>
      </c>
      <c r="AK202">
        <v>8.4499999999999993</v>
      </c>
      <c r="AL202">
        <v>36.11</v>
      </c>
      <c r="AM202">
        <v>28</v>
      </c>
    </row>
    <row r="203" spans="1:39" x14ac:dyDescent="0.3">
      <c r="A203" t="s">
        <v>1220</v>
      </c>
      <c r="B203" t="s">
        <v>1168</v>
      </c>
      <c r="C203" t="s">
        <v>1221</v>
      </c>
      <c r="D203" t="s">
        <v>42</v>
      </c>
      <c r="E203">
        <v>4.5999999999999996</v>
      </c>
      <c r="F203" t="s">
        <v>1222</v>
      </c>
      <c r="G203" t="s">
        <v>1223</v>
      </c>
      <c r="H203" t="s">
        <v>1224</v>
      </c>
      <c r="I203" t="s">
        <v>46</v>
      </c>
      <c r="J203" t="s">
        <v>47</v>
      </c>
      <c r="K203" t="s">
        <v>89</v>
      </c>
      <c r="M203">
        <v>154</v>
      </c>
      <c r="N203">
        <v>143</v>
      </c>
      <c r="O203">
        <v>27</v>
      </c>
      <c r="P203">
        <v>3560</v>
      </c>
      <c r="Q203" t="s">
        <v>1225</v>
      </c>
      <c r="R203">
        <v>1</v>
      </c>
      <c r="S203">
        <v>21</v>
      </c>
      <c r="T203">
        <v>309</v>
      </c>
      <c r="U203">
        <v>103</v>
      </c>
      <c r="V203">
        <v>30.68</v>
      </c>
      <c r="W203">
        <v>121.83</v>
      </c>
      <c r="X203">
        <v>75</v>
      </c>
      <c r="Y203">
        <v>0</v>
      </c>
      <c r="Z203">
        <v>13</v>
      </c>
      <c r="AA203">
        <v>6</v>
      </c>
    </row>
    <row r="204" spans="1:39" x14ac:dyDescent="0.3">
      <c r="A204" t="s">
        <v>1226</v>
      </c>
      <c r="B204" t="s">
        <v>1168</v>
      </c>
      <c r="C204" t="s">
        <v>1227</v>
      </c>
      <c r="D204" t="s">
        <v>63</v>
      </c>
      <c r="E204">
        <v>4</v>
      </c>
      <c r="F204" t="s">
        <v>1226</v>
      </c>
      <c r="G204" t="s">
        <v>1228</v>
      </c>
      <c r="H204" t="s">
        <v>1229</v>
      </c>
      <c r="I204" t="s">
        <v>46</v>
      </c>
      <c r="J204" t="s">
        <v>47</v>
      </c>
      <c r="K204" t="s">
        <v>102</v>
      </c>
      <c r="L204" t="s">
        <v>58</v>
      </c>
      <c r="M204">
        <v>23</v>
      </c>
      <c r="N204">
        <v>4</v>
      </c>
      <c r="O204">
        <v>2</v>
      </c>
      <c r="P204">
        <v>8</v>
      </c>
      <c r="Q204" t="s">
        <v>1230</v>
      </c>
      <c r="R204">
        <v>0</v>
      </c>
      <c r="S204">
        <v>0</v>
      </c>
      <c r="T204">
        <v>1</v>
      </c>
      <c r="U204">
        <v>0</v>
      </c>
      <c r="V204">
        <v>4</v>
      </c>
      <c r="W204">
        <v>50</v>
      </c>
      <c r="X204">
        <v>4</v>
      </c>
      <c r="Y204">
        <v>0</v>
      </c>
      <c r="Z204">
        <v>1</v>
      </c>
      <c r="AA204">
        <v>0</v>
      </c>
      <c r="AB204">
        <v>23</v>
      </c>
      <c r="AC204">
        <v>87</v>
      </c>
      <c r="AD204">
        <v>1</v>
      </c>
      <c r="AE204">
        <v>606</v>
      </c>
      <c r="AF204">
        <v>24</v>
      </c>
      <c r="AG204" t="s">
        <v>509</v>
      </c>
      <c r="AH204">
        <v>3</v>
      </c>
      <c r="AI204">
        <v>0</v>
      </c>
      <c r="AJ204">
        <v>25.25</v>
      </c>
      <c r="AK204">
        <v>6.96</v>
      </c>
      <c r="AL204">
        <v>21.75</v>
      </c>
      <c r="AM204">
        <v>23</v>
      </c>
    </row>
    <row r="205" spans="1:39" x14ac:dyDescent="0.3">
      <c r="A205" t="s">
        <v>1231</v>
      </c>
      <c r="B205" t="s">
        <v>1168</v>
      </c>
      <c r="C205" t="s">
        <v>1232</v>
      </c>
      <c r="D205" t="s">
        <v>42</v>
      </c>
      <c r="E205">
        <v>2</v>
      </c>
    </row>
    <row r="206" spans="1:39" x14ac:dyDescent="0.3">
      <c r="A206" t="s">
        <v>1233</v>
      </c>
      <c r="B206" t="s">
        <v>1168</v>
      </c>
      <c r="C206" t="s">
        <v>1234</v>
      </c>
      <c r="D206" t="s">
        <v>63</v>
      </c>
      <c r="E206">
        <v>2</v>
      </c>
      <c r="F206" t="s">
        <v>1235</v>
      </c>
      <c r="G206" t="s">
        <v>1236</v>
      </c>
      <c r="H206" t="s">
        <v>1237</v>
      </c>
      <c r="I206" t="s">
        <v>152</v>
      </c>
      <c r="J206" t="s">
        <v>47</v>
      </c>
      <c r="K206" t="s">
        <v>68</v>
      </c>
    </row>
    <row r="207" spans="1:39" x14ac:dyDescent="0.3">
      <c r="A207" t="s">
        <v>1238</v>
      </c>
      <c r="B207" t="s">
        <v>1168</v>
      </c>
      <c r="C207" t="s">
        <v>1239</v>
      </c>
      <c r="D207" t="s">
        <v>52</v>
      </c>
      <c r="E207">
        <v>0.9</v>
      </c>
      <c r="F207" t="s">
        <v>1238</v>
      </c>
      <c r="G207" t="s">
        <v>1240</v>
      </c>
      <c r="H207" t="s">
        <v>1241</v>
      </c>
      <c r="I207" t="s">
        <v>46</v>
      </c>
      <c r="J207" t="s">
        <v>47</v>
      </c>
      <c r="K207" t="s">
        <v>48</v>
      </c>
      <c r="L207" t="s">
        <v>58</v>
      </c>
      <c r="M207">
        <v>24</v>
      </c>
      <c r="N207">
        <v>19</v>
      </c>
      <c r="O207">
        <v>6</v>
      </c>
      <c r="P207">
        <v>186</v>
      </c>
      <c r="Q207" t="s">
        <v>1242</v>
      </c>
      <c r="R207">
        <v>0</v>
      </c>
      <c r="S207">
        <v>0</v>
      </c>
      <c r="T207">
        <v>13</v>
      </c>
      <c r="U207">
        <v>12</v>
      </c>
      <c r="V207">
        <v>14.3</v>
      </c>
      <c r="W207">
        <v>169.09</v>
      </c>
      <c r="X207">
        <v>10</v>
      </c>
      <c r="Y207">
        <v>0</v>
      </c>
      <c r="Z207">
        <v>2</v>
      </c>
      <c r="AA207">
        <v>1</v>
      </c>
      <c r="AB207">
        <v>24</v>
      </c>
      <c r="AC207">
        <v>68</v>
      </c>
      <c r="AD207">
        <v>0</v>
      </c>
      <c r="AE207">
        <v>562</v>
      </c>
      <c r="AF207">
        <v>13</v>
      </c>
      <c r="AG207" t="s">
        <v>1243</v>
      </c>
      <c r="AH207">
        <v>0</v>
      </c>
      <c r="AI207">
        <v>0</v>
      </c>
      <c r="AJ207">
        <v>43.23</v>
      </c>
      <c r="AK207">
        <v>8.26</v>
      </c>
      <c r="AL207">
        <v>31.38</v>
      </c>
      <c r="AM207">
        <v>24</v>
      </c>
    </row>
    <row r="208" spans="1:39" x14ac:dyDescent="0.3">
      <c r="A208" t="s">
        <v>1244</v>
      </c>
      <c r="B208" t="s">
        <v>1168</v>
      </c>
      <c r="C208" t="s">
        <v>1245</v>
      </c>
      <c r="D208" t="s">
        <v>52</v>
      </c>
      <c r="E208">
        <v>0.5</v>
      </c>
      <c r="F208" t="s">
        <v>1246</v>
      </c>
      <c r="G208" t="s">
        <v>1247</v>
      </c>
      <c r="H208" t="s">
        <v>1248</v>
      </c>
      <c r="I208" t="s">
        <v>96</v>
      </c>
      <c r="J208" t="s">
        <v>67</v>
      </c>
      <c r="K208" t="s">
        <v>89</v>
      </c>
    </row>
    <row r="209" spans="1:39" x14ac:dyDescent="0.3">
      <c r="A209" t="s">
        <v>1249</v>
      </c>
      <c r="B209" t="s">
        <v>1168</v>
      </c>
      <c r="C209" t="s">
        <v>1250</v>
      </c>
      <c r="D209" t="s">
        <v>63</v>
      </c>
      <c r="E209">
        <v>0.5</v>
      </c>
      <c r="F209" t="s">
        <v>1249</v>
      </c>
      <c r="G209" t="s">
        <v>1251</v>
      </c>
      <c r="H209" t="s">
        <v>1252</v>
      </c>
      <c r="I209" t="s">
        <v>46</v>
      </c>
      <c r="J209" t="s">
        <v>47</v>
      </c>
      <c r="K209" t="s">
        <v>116</v>
      </c>
      <c r="L209" t="s">
        <v>58</v>
      </c>
      <c r="M209">
        <v>72</v>
      </c>
      <c r="N209">
        <v>22</v>
      </c>
      <c r="O209">
        <v>8</v>
      </c>
      <c r="P209">
        <v>39</v>
      </c>
      <c r="Q209" t="s">
        <v>1253</v>
      </c>
      <c r="R209">
        <v>0</v>
      </c>
      <c r="S209">
        <v>0</v>
      </c>
      <c r="T209">
        <v>2</v>
      </c>
      <c r="U209">
        <v>0</v>
      </c>
      <c r="V209">
        <v>2.78</v>
      </c>
      <c r="W209">
        <v>44.82</v>
      </c>
      <c r="X209">
        <v>16</v>
      </c>
      <c r="Y209">
        <v>0</v>
      </c>
      <c r="Z209">
        <v>9</v>
      </c>
      <c r="AA209">
        <v>2</v>
      </c>
      <c r="AB209">
        <v>70</v>
      </c>
      <c r="AC209">
        <v>235.5</v>
      </c>
      <c r="AD209">
        <v>2</v>
      </c>
      <c r="AE209">
        <v>1784</v>
      </c>
      <c r="AF209">
        <v>48</v>
      </c>
      <c r="AG209" t="s">
        <v>1254</v>
      </c>
      <c r="AH209">
        <v>1</v>
      </c>
      <c r="AI209">
        <v>0</v>
      </c>
      <c r="AJ209">
        <v>37.159999999999997</v>
      </c>
      <c r="AK209">
        <v>7.56</v>
      </c>
      <c r="AL209">
        <v>29.47</v>
      </c>
      <c r="AM209">
        <v>70</v>
      </c>
    </row>
    <row r="210" spans="1:39" x14ac:dyDescent="0.3">
      <c r="A210" t="s">
        <v>1255</v>
      </c>
      <c r="B210" t="s">
        <v>1168</v>
      </c>
      <c r="C210" t="s">
        <v>1256</v>
      </c>
      <c r="D210" t="s">
        <v>63</v>
      </c>
      <c r="E210">
        <v>0.5</v>
      </c>
      <c r="F210" t="s">
        <v>1257</v>
      </c>
      <c r="G210" t="s">
        <v>1258</v>
      </c>
      <c r="H210" t="s">
        <v>1259</v>
      </c>
      <c r="I210" t="s">
        <v>46</v>
      </c>
      <c r="J210" t="s">
        <v>47</v>
      </c>
      <c r="K210" t="s">
        <v>68</v>
      </c>
      <c r="L210" t="s">
        <v>58</v>
      </c>
      <c r="M210">
        <v>29</v>
      </c>
      <c r="N210">
        <v>7</v>
      </c>
      <c r="O210">
        <v>2</v>
      </c>
      <c r="P210">
        <v>26</v>
      </c>
      <c r="Q210" t="s">
        <v>1260</v>
      </c>
      <c r="R210">
        <v>0</v>
      </c>
      <c r="S210">
        <v>0</v>
      </c>
      <c r="T210">
        <v>2</v>
      </c>
      <c r="U210">
        <v>1</v>
      </c>
      <c r="V210">
        <v>5.2</v>
      </c>
      <c r="W210">
        <v>63.41</v>
      </c>
      <c r="X210">
        <v>4</v>
      </c>
      <c r="Y210">
        <v>0</v>
      </c>
      <c r="Z210">
        <v>0</v>
      </c>
      <c r="AA210">
        <v>1</v>
      </c>
      <c r="AB210">
        <v>29</v>
      </c>
      <c r="AC210">
        <v>88.1</v>
      </c>
      <c r="AD210">
        <v>1</v>
      </c>
      <c r="AE210">
        <v>814</v>
      </c>
      <c r="AF210">
        <v>24</v>
      </c>
      <c r="AG210" t="s">
        <v>1261</v>
      </c>
      <c r="AH210">
        <v>1</v>
      </c>
      <c r="AI210">
        <v>1</v>
      </c>
      <c r="AJ210">
        <v>33.909999999999997</v>
      </c>
      <c r="AK210">
        <v>9.23</v>
      </c>
      <c r="AL210">
        <v>22.04</v>
      </c>
      <c r="AM210">
        <v>29</v>
      </c>
    </row>
    <row r="211" spans="1:39" x14ac:dyDescent="0.3">
      <c r="A211" t="s">
        <v>1262</v>
      </c>
      <c r="B211" t="s">
        <v>1168</v>
      </c>
      <c r="C211" t="s">
        <v>1263</v>
      </c>
      <c r="D211" t="s">
        <v>63</v>
      </c>
      <c r="E211">
        <v>0.2</v>
      </c>
      <c r="F211" t="s">
        <v>1262</v>
      </c>
      <c r="G211" t="s">
        <v>1264</v>
      </c>
      <c r="H211" t="s">
        <v>1265</v>
      </c>
      <c r="I211" t="s">
        <v>46</v>
      </c>
      <c r="J211" t="s">
        <v>67</v>
      </c>
      <c r="K211" t="s">
        <v>109</v>
      </c>
    </row>
    <row r="212" spans="1:39" x14ac:dyDescent="0.3">
      <c r="A212" t="s">
        <v>1266</v>
      </c>
      <c r="B212" t="s">
        <v>1168</v>
      </c>
      <c r="C212" t="s">
        <v>1267</v>
      </c>
      <c r="D212" t="s">
        <v>52</v>
      </c>
      <c r="E212">
        <v>0.2</v>
      </c>
      <c r="F212" t="s">
        <v>1266</v>
      </c>
      <c r="G212" t="s">
        <v>1268</v>
      </c>
      <c r="H212" t="s">
        <v>1269</v>
      </c>
      <c r="I212" t="s">
        <v>46</v>
      </c>
      <c r="J212" t="s">
        <v>47</v>
      </c>
      <c r="K212" t="s">
        <v>48</v>
      </c>
    </row>
    <row r="213" spans="1:39" x14ac:dyDescent="0.3">
      <c r="A213" t="s">
        <v>1270</v>
      </c>
      <c r="B213" t="s">
        <v>1168</v>
      </c>
      <c r="C213" t="s">
        <v>1271</v>
      </c>
      <c r="D213" t="s">
        <v>52</v>
      </c>
      <c r="E213">
        <v>0.2</v>
      </c>
      <c r="F213" t="s">
        <v>1270</v>
      </c>
      <c r="G213" s="1">
        <v>36099</v>
      </c>
      <c r="H213" t="s">
        <v>1272</v>
      </c>
      <c r="I213" t="s">
        <v>46</v>
      </c>
      <c r="J213" t="s">
        <v>47</v>
      </c>
      <c r="K213" t="s">
        <v>48</v>
      </c>
    </row>
    <row r="214" spans="1:39" x14ac:dyDescent="0.3">
      <c r="A214" t="s">
        <v>1273</v>
      </c>
      <c r="B214" t="s">
        <v>1168</v>
      </c>
      <c r="C214" t="s">
        <v>1274</v>
      </c>
      <c r="D214" t="s">
        <v>63</v>
      </c>
      <c r="E214">
        <v>0.2</v>
      </c>
      <c r="F214" t="s">
        <v>1275</v>
      </c>
      <c r="G214" t="s">
        <v>1276</v>
      </c>
      <c r="H214" t="s">
        <v>987</v>
      </c>
      <c r="I214" t="s">
        <v>46</v>
      </c>
      <c r="J214" t="s">
        <v>47</v>
      </c>
      <c r="K214" t="s">
        <v>130</v>
      </c>
    </row>
    <row r="215" spans="1:39" x14ac:dyDescent="0.3">
      <c r="A215" t="s">
        <v>1277</v>
      </c>
      <c r="B215" t="s">
        <v>1168</v>
      </c>
      <c r="C215" t="s">
        <v>1278</v>
      </c>
      <c r="D215" t="s">
        <v>42</v>
      </c>
      <c r="E215">
        <v>0.2</v>
      </c>
      <c r="F215" t="s">
        <v>1277</v>
      </c>
      <c r="G215" t="s">
        <v>1279</v>
      </c>
      <c r="H215" t="s">
        <v>1280</v>
      </c>
      <c r="I215" t="s">
        <v>46</v>
      </c>
      <c r="J215" t="s">
        <v>47</v>
      </c>
      <c r="K215" t="s">
        <v>89</v>
      </c>
      <c r="M215">
        <v>53</v>
      </c>
      <c r="N215">
        <v>49</v>
      </c>
      <c r="O215">
        <v>2</v>
      </c>
      <c r="P215">
        <v>1054</v>
      </c>
      <c r="Q215" t="s">
        <v>1281</v>
      </c>
      <c r="R215">
        <v>0</v>
      </c>
      <c r="S215">
        <v>3</v>
      </c>
      <c r="T215">
        <v>102</v>
      </c>
      <c r="U215">
        <v>41</v>
      </c>
      <c r="V215">
        <v>22.42</v>
      </c>
      <c r="W215">
        <v>130.6</v>
      </c>
      <c r="X215">
        <v>13</v>
      </c>
      <c r="Y215">
        <v>0</v>
      </c>
      <c r="Z215">
        <v>3</v>
      </c>
      <c r="AA215">
        <v>4</v>
      </c>
    </row>
    <row r="216" spans="1:39" x14ac:dyDescent="0.3">
      <c r="A216" t="s">
        <v>1282</v>
      </c>
      <c r="B216" t="s">
        <v>1283</v>
      </c>
      <c r="C216" t="s">
        <v>1284</v>
      </c>
      <c r="D216" t="s">
        <v>63</v>
      </c>
      <c r="E216">
        <v>15</v>
      </c>
      <c r="F216" t="s">
        <v>1285</v>
      </c>
      <c r="G216" t="s">
        <v>1286</v>
      </c>
      <c r="H216" t="s">
        <v>1287</v>
      </c>
      <c r="I216" t="s">
        <v>307</v>
      </c>
      <c r="J216" t="s">
        <v>47</v>
      </c>
      <c r="K216" t="s">
        <v>102</v>
      </c>
      <c r="L216" t="s">
        <v>58</v>
      </c>
      <c r="M216">
        <v>76</v>
      </c>
      <c r="N216">
        <v>35</v>
      </c>
      <c r="O216">
        <v>11</v>
      </c>
      <c r="P216">
        <v>222</v>
      </c>
      <c r="Q216" t="s">
        <v>1288</v>
      </c>
      <c r="R216">
        <v>0</v>
      </c>
      <c r="S216">
        <v>0</v>
      </c>
      <c r="T216">
        <v>17</v>
      </c>
      <c r="U216">
        <v>13</v>
      </c>
      <c r="V216">
        <v>9.25</v>
      </c>
      <c r="W216">
        <v>137.03</v>
      </c>
      <c r="X216">
        <v>20</v>
      </c>
      <c r="Y216">
        <v>0</v>
      </c>
      <c r="Z216">
        <v>11</v>
      </c>
      <c r="AA216">
        <v>2</v>
      </c>
      <c r="AB216">
        <v>76</v>
      </c>
      <c r="AC216">
        <v>302</v>
      </c>
      <c r="AD216">
        <v>4</v>
      </c>
      <c r="AE216">
        <v>1912</v>
      </c>
      <c r="AF216">
        <v>93</v>
      </c>
      <c r="AG216" t="s">
        <v>1289</v>
      </c>
      <c r="AH216">
        <v>10</v>
      </c>
      <c r="AI216">
        <v>0</v>
      </c>
      <c r="AJ216">
        <v>20.55</v>
      </c>
      <c r="AK216">
        <v>6.33</v>
      </c>
      <c r="AL216">
        <v>19.48</v>
      </c>
      <c r="AM216">
        <v>76</v>
      </c>
    </row>
    <row r="217" spans="1:39" x14ac:dyDescent="0.3">
      <c r="A217" t="s">
        <v>1290</v>
      </c>
      <c r="B217" t="s">
        <v>1283</v>
      </c>
      <c r="C217" t="s">
        <v>1291</v>
      </c>
      <c r="D217" t="s">
        <v>52</v>
      </c>
      <c r="E217">
        <v>15</v>
      </c>
      <c r="F217" t="s">
        <v>1292</v>
      </c>
      <c r="G217" t="s">
        <v>1293</v>
      </c>
      <c r="H217" t="s">
        <v>1294</v>
      </c>
      <c r="I217" t="s">
        <v>46</v>
      </c>
      <c r="J217" t="s">
        <v>47</v>
      </c>
      <c r="K217" t="s">
        <v>130</v>
      </c>
      <c r="L217" t="s">
        <v>58</v>
      </c>
      <c r="M217">
        <v>92</v>
      </c>
      <c r="N217">
        <v>85</v>
      </c>
      <c r="O217">
        <v>31</v>
      </c>
      <c r="P217">
        <v>1476</v>
      </c>
      <c r="Q217" t="s">
        <v>1295</v>
      </c>
      <c r="R217">
        <v>0</v>
      </c>
      <c r="S217">
        <v>4</v>
      </c>
      <c r="T217">
        <v>97</v>
      </c>
      <c r="U217">
        <v>98</v>
      </c>
      <c r="V217">
        <v>27.33</v>
      </c>
      <c r="W217">
        <v>153.91</v>
      </c>
      <c r="X217">
        <v>53</v>
      </c>
      <c r="Y217">
        <v>0</v>
      </c>
      <c r="Z217">
        <v>5</v>
      </c>
      <c r="AA217">
        <v>1</v>
      </c>
      <c r="AB217">
        <v>60</v>
      </c>
      <c r="AC217">
        <v>144.5</v>
      </c>
      <c r="AD217">
        <v>0</v>
      </c>
      <c r="AE217">
        <v>1313</v>
      </c>
      <c r="AF217">
        <v>42</v>
      </c>
      <c r="AG217" t="s">
        <v>1296</v>
      </c>
      <c r="AH217">
        <v>3</v>
      </c>
      <c r="AI217">
        <v>0</v>
      </c>
      <c r="AJ217">
        <v>31.26</v>
      </c>
      <c r="AK217">
        <v>9.06</v>
      </c>
      <c r="AL217">
        <v>20.69</v>
      </c>
      <c r="AM217">
        <v>60</v>
      </c>
    </row>
    <row r="218" spans="1:39" x14ac:dyDescent="0.3">
      <c r="A218" t="s">
        <v>1297</v>
      </c>
      <c r="B218" t="s">
        <v>1283</v>
      </c>
      <c r="C218" t="s">
        <v>1298</v>
      </c>
      <c r="D218" t="s">
        <v>63</v>
      </c>
      <c r="E218">
        <v>10</v>
      </c>
      <c r="F218" t="s">
        <v>1299</v>
      </c>
      <c r="G218" t="s">
        <v>1300</v>
      </c>
      <c r="H218" t="s">
        <v>1301</v>
      </c>
      <c r="I218" t="s">
        <v>205</v>
      </c>
      <c r="J218" t="s">
        <v>47</v>
      </c>
      <c r="K218" t="s">
        <v>68</v>
      </c>
      <c r="L218" t="s">
        <v>58</v>
      </c>
      <c r="M218">
        <v>22</v>
      </c>
      <c r="N218">
        <v>6</v>
      </c>
      <c r="O218">
        <v>6</v>
      </c>
      <c r="P218">
        <v>62</v>
      </c>
      <c r="Q218" t="s">
        <v>412</v>
      </c>
      <c r="R218">
        <v>0</v>
      </c>
      <c r="S218">
        <v>0</v>
      </c>
      <c r="T218">
        <v>5</v>
      </c>
      <c r="U218">
        <v>2</v>
      </c>
      <c r="W218">
        <v>151.22</v>
      </c>
      <c r="X218">
        <v>3</v>
      </c>
      <c r="Y218">
        <v>0</v>
      </c>
      <c r="Z218">
        <v>2</v>
      </c>
      <c r="AA218">
        <v>0</v>
      </c>
      <c r="AB218">
        <v>22</v>
      </c>
      <c r="AC218">
        <v>79.5</v>
      </c>
      <c r="AD218">
        <v>1</v>
      </c>
      <c r="AE218">
        <v>648</v>
      </c>
      <c r="AF218">
        <v>24</v>
      </c>
      <c r="AG218" t="s">
        <v>1302</v>
      </c>
      <c r="AH218">
        <v>2</v>
      </c>
      <c r="AI218">
        <v>0</v>
      </c>
      <c r="AJ218">
        <v>27</v>
      </c>
      <c r="AK218">
        <v>8.11</v>
      </c>
      <c r="AL218">
        <v>19.95</v>
      </c>
      <c r="AM218">
        <v>22</v>
      </c>
    </row>
    <row r="219" spans="1:39" x14ac:dyDescent="0.3">
      <c r="A219" t="s">
        <v>1303</v>
      </c>
      <c r="B219" t="s">
        <v>1283</v>
      </c>
      <c r="C219" t="s">
        <v>1304</v>
      </c>
      <c r="D219" t="s">
        <v>52</v>
      </c>
      <c r="E219">
        <v>9</v>
      </c>
    </row>
    <row r="220" spans="1:39" x14ac:dyDescent="0.3">
      <c r="A220" t="s">
        <v>1305</v>
      </c>
      <c r="B220" t="s">
        <v>1283</v>
      </c>
      <c r="C220" t="s">
        <v>1306</v>
      </c>
      <c r="D220" t="s">
        <v>42</v>
      </c>
      <c r="E220">
        <v>8</v>
      </c>
      <c r="F220" t="s">
        <v>1305</v>
      </c>
      <c r="G220" t="s">
        <v>1307</v>
      </c>
      <c r="H220" t="s">
        <v>1308</v>
      </c>
      <c r="I220" t="s">
        <v>46</v>
      </c>
      <c r="J220" t="s">
        <v>47</v>
      </c>
      <c r="K220" t="s">
        <v>48</v>
      </c>
      <c r="M220">
        <v>58</v>
      </c>
      <c r="N220">
        <v>55</v>
      </c>
      <c r="O220">
        <v>10</v>
      </c>
      <c r="P220">
        <v>1417</v>
      </c>
      <c r="Q220" t="s">
        <v>1309</v>
      </c>
      <c r="R220">
        <v>0</v>
      </c>
      <c r="S220">
        <v>10</v>
      </c>
      <c r="T220">
        <v>137</v>
      </c>
      <c r="U220">
        <v>36</v>
      </c>
      <c r="V220">
        <v>31.48</v>
      </c>
      <c r="W220">
        <v>123</v>
      </c>
      <c r="X220">
        <v>23</v>
      </c>
      <c r="Y220">
        <v>0</v>
      </c>
      <c r="Z220">
        <v>2</v>
      </c>
      <c r="AA220">
        <v>6</v>
      </c>
    </row>
    <row r="221" spans="1:39" x14ac:dyDescent="0.3">
      <c r="A221" t="s">
        <v>1310</v>
      </c>
      <c r="B221" t="s">
        <v>1283</v>
      </c>
      <c r="C221" t="s">
        <v>1311</v>
      </c>
      <c r="D221" t="s">
        <v>63</v>
      </c>
      <c r="E221">
        <v>6.25</v>
      </c>
      <c r="F221" t="s">
        <v>1312</v>
      </c>
      <c r="G221" t="s">
        <v>1313</v>
      </c>
      <c r="H221" t="s">
        <v>1314</v>
      </c>
      <c r="I221" t="s">
        <v>46</v>
      </c>
      <c r="J221" t="s">
        <v>47</v>
      </c>
      <c r="K221" t="s">
        <v>68</v>
      </c>
      <c r="L221" t="s">
        <v>58</v>
      </c>
      <c r="M221">
        <v>77</v>
      </c>
      <c r="N221">
        <v>23</v>
      </c>
      <c r="O221">
        <v>12</v>
      </c>
      <c r="P221">
        <v>69</v>
      </c>
      <c r="Q221" t="s">
        <v>1315</v>
      </c>
      <c r="R221">
        <v>0</v>
      </c>
      <c r="S221">
        <v>0</v>
      </c>
      <c r="T221">
        <v>5</v>
      </c>
      <c r="U221">
        <v>2</v>
      </c>
      <c r="V221">
        <v>6.27</v>
      </c>
      <c r="W221">
        <v>94.52</v>
      </c>
      <c r="X221">
        <v>11</v>
      </c>
      <c r="Y221">
        <v>0</v>
      </c>
      <c r="Z221">
        <v>7</v>
      </c>
      <c r="AA221">
        <v>2</v>
      </c>
      <c r="AB221">
        <v>77</v>
      </c>
      <c r="AC221">
        <v>278.2</v>
      </c>
      <c r="AD221">
        <v>1</v>
      </c>
      <c r="AE221">
        <v>2402</v>
      </c>
      <c r="AF221">
        <v>79</v>
      </c>
      <c r="AG221" t="s">
        <v>1316</v>
      </c>
      <c r="AH221">
        <v>6</v>
      </c>
      <c r="AI221">
        <v>0</v>
      </c>
      <c r="AJ221">
        <v>30.4</v>
      </c>
      <c r="AK221">
        <v>8.6199999999999992</v>
      </c>
      <c r="AL221">
        <v>21.13</v>
      </c>
      <c r="AM221">
        <v>77</v>
      </c>
    </row>
    <row r="222" spans="1:39" x14ac:dyDescent="0.3">
      <c r="A222" t="s">
        <v>1317</v>
      </c>
      <c r="B222" t="s">
        <v>1283</v>
      </c>
      <c r="C222" t="s">
        <v>1318</v>
      </c>
      <c r="D222" t="s">
        <v>63</v>
      </c>
      <c r="E222">
        <v>3.2</v>
      </c>
      <c r="F222" t="s">
        <v>1317</v>
      </c>
      <c r="G222" s="1">
        <v>35777</v>
      </c>
      <c r="H222" t="s">
        <v>1319</v>
      </c>
      <c r="I222" t="s">
        <v>46</v>
      </c>
      <c r="J222" t="s">
        <v>67</v>
      </c>
      <c r="K222" t="s">
        <v>109</v>
      </c>
    </row>
    <row r="223" spans="1:39" x14ac:dyDescent="0.3">
      <c r="A223" t="s">
        <v>1320</v>
      </c>
      <c r="B223" t="s">
        <v>1283</v>
      </c>
      <c r="C223" t="s">
        <v>1321</v>
      </c>
      <c r="D223" t="s">
        <v>63</v>
      </c>
      <c r="E223">
        <v>3</v>
      </c>
      <c r="F223" t="s">
        <v>1320</v>
      </c>
      <c r="G223" t="s">
        <v>1322</v>
      </c>
      <c r="H223" t="s">
        <v>1323</v>
      </c>
      <c r="I223" t="s">
        <v>46</v>
      </c>
      <c r="J223" t="s">
        <v>67</v>
      </c>
      <c r="K223" t="s">
        <v>116</v>
      </c>
    </row>
    <row r="224" spans="1:39" x14ac:dyDescent="0.3">
      <c r="A224" t="s">
        <v>1324</v>
      </c>
      <c r="B224" t="s">
        <v>1283</v>
      </c>
      <c r="C224" t="s">
        <v>1325</v>
      </c>
      <c r="D224" t="s">
        <v>42</v>
      </c>
      <c r="E224">
        <v>3</v>
      </c>
      <c r="F224" t="s">
        <v>1326</v>
      </c>
      <c r="G224" t="s">
        <v>1327</v>
      </c>
      <c r="H224" t="s">
        <v>1328</v>
      </c>
      <c r="I224" t="s">
        <v>66</v>
      </c>
      <c r="J224" t="s">
        <v>67</v>
      </c>
      <c r="K224" t="s">
        <v>48</v>
      </c>
      <c r="M224">
        <v>89</v>
      </c>
      <c r="N224">
        <v>86</v>
      </c>
      <c r="O224">
        <v>26</v>
      </c>
      <c r="P224">
        <v>1974</v>
      </c>
      <c r="Q224" t="s">
        <v>1329</v>
      </c>
      <c r="R224">
        <v>1</v>
      </c>
      <c r="S224">
        <v>10</v>
      </c>
      <c r="T224">
        <v>137</v>
      </c>
      <c r="U224">
        <v>90</v>
      </c>
      <c r="V224">
        <v>32.9</v>
      </c>
      <c r="W224">
        <v>136.51</v>
      </c>
      <c r="X224">
        <v>53</v>
      </c>
      <c r="Y224">
        <v>0</v>
      </c>
      <c r="Z224">
        <v>3</v>
      </c>
      <c r="AA224">
        <v>3</v>
      </c>
    </row>
    <row r="225" spans="1:39" x14ac:dyDescent="0.3">
      <c r="A225" t="s">
        <v>1330</v>
      </c>
      <c r="B225" t="s">
        <v>1283</v>
      </c>
      <c r="C225" t="s">
        <v>1331</v>
      </c>
      <c r="D225" t="s">
        <v>42</v>
      </c>
      <c r="E225">
        <v>2.6</v>
      </c>
      <c r="F225" t="s">
        <v>1332</v>
      </c>
      <c r="G225" t="s">
        <v>1333</v>
      </c>
      <c r="H225" t="s">
        <v>1334</v>
      </c>
      <c r="I225" t="s">
        <v>46</v>
      </c>
      <c r="J225" t="s">
        <v>47</v>
      </c>
      <c r="K225" t="s">
        <v>102</v>
      </c>
    </row>
    <row r="226" spans="1:39" x14ac:dyDescent="0.3">
      <c r="A226" t="s">
        <v>1335</v>
      </c>
      <c r="B226" t="s">
        <v>1283</v>
      </c>
      <c r="C226" t="s">
        <v>1336</v>
      </c>
      <c r="D226" t="s">
        <v>63</v>
      </c>
      <c r="E226">
        <v>2.4</v>
      </c>
      <c r="F226" t="s">
        <v>1337</v>
      </c>
      <c r="G226" t="s">
        <v>1338</v>
      </c>
      <c r="H226" t="s">
        <v>1339</v>
      </c>
      <c r="I226" t="s">
        <v>96</v>
      </c>
      <c r="J226" t="s">
        <v>47</v>
      </c>
      <c r="K226" t="s">
        <v>124</v>
      </c>
      <c r="L226" t="s">
        <v>58</v>
      </c>
      <c r="M226">
        <v>3</v>
      </c>
      <c r="N226">
        <v>2</v>
      </c>
      <c r="O226">
        <v>2</v>
      </c>
      <c r="P226">
        <v>15</v>
      </c>
      <c r="Q226" t="s">
        <v>1340</v>
      </c>
      <c r="R226">
        <v>0</v>
      </c>
      <c r="S226">
        <v>0</v>
      </c>
      <c r="T226">
        <v>2</v>
      </c>
      <c r="U226">
        <v>0</v>
      </c>
      <c r="W226">
        <v>115.38</v>
      </c>
      <c r="X226">
        <v>1</v>
      </c>
      <c r="Y226">
        <v>0</v>
      </c>
      <c r="Z226">
        <v>1</v>
      </c>
      <c r="AA226">
        <v>0</v>
      </c>
      <c r="AB226">
        <v>3</v>
      </c>
      <c r="AC226">
        <v>8.4</v>
      </c>
      <c r="AD226">
        <v>1</v>
      </c>
      <c r="AE226">
        <v>87</v>
      </c>
      <c r="AF226">
        <v>6</v>
      </c>
      <c r="AG226" t="s">
        <v>1341</v>
      </c>
      <c r="AH226">
        <v>0</v>
      </c>
      <c r="AI226">
        <v>1</v>
      </c>
      <c r="AJ226">
        <v>14.5</v>
      </c>
      <c r="AK226">
        <v>10.029999999999999</v>
      </c>
      <c r="AL226">
        <v>8.66</v>
      </c>
      <c r="AM226">
        <v>3</v>
      </c>
    </row>
    <row r="227" spans="1:39" x14ac:dyDescent="0.3">
      <c r="A227" t="s">
        <v>1342</v>
      </c>
      <c r="B227" t="s">
        <v>1283</v>
      </c>
      <c r="C227" t="s">
        <v>1343</v>
      </c>
      <c r="D227" t="s">
        <v>85</v>
      </c>
      <c r="E227">
        <v>2.4</v>
      </c>
      <c r="F227" t="s">
        <v>1344</v>
      </c>
      <c r="G227" t="s">
        <v>1345</v>
      </c>
      <c r="H227" t="s">
        <v>1346</v>
      </c>
      <c r="I227" t="s">
        <v>135</v>
      </c>
      <c r="J227" t="s">
        <v>67</v>
      </c>
      <c r="K227" t="s">
        <v>89</v>
      </c>
      <c r="M227">
        <v>3</v>
      </c>
      <c r="N227">
        <v>3</v>
      </c>
      <c r="O227">
        <v>0</v>
      </c>
      <c r="P227">
        <v>22</v>
      </c>
      <c r="Q227" t="s">
        <v>1347</v>
      </c>
      <c r="R227">
        <v>0</v>
      </c>
      <c r="S227">
        <v>0</v>
      </c>
      <c r="T227">
        <v>0</v>
      </c>
      <c r="U227">
        <v>0</v>
      </c>
      <c r="V227">
        <v>7.33</v>
      </c>
      <c r="W227">
        <v>66.66</v>
      </c>
      <c r="Z227">
        <v>0</v>
      </c>
      <c r="AA227">
        <v>0</v>
      </c>
    </row>
    <row r="228" spans="1:39" x14ac:dyDescent="0.3">
      <c r="A228" t="s">
        <v>1348</v>
      </c>
      <c r="B228" t="s">
        <v>1283</v>
      </c>
      <c r="C228" t="s">
        <v>1349</v>
      </c>
      <c r="D228" t="s">
        <v>42</v>
      </c>
      <c r="E228">
        <v>2</v>
      </c>
      <c r="F228" t="s">
        <v>1350</v>
      </c>
      <c r="G228" t="s">
        <v>1351</v>
      </c>
      <c r="H228" t="s">
        <v>1352</v>
      </c>
      <c r="I228" t="s">
        <v>56</v>
      </c>
      <c r="J228" t="s">
        <v>47</v>
      </c>
      <c r="M228">
        <v>13</v>
      </c>
      <c r="N228">
        <v>13</v>
      </c>
      <c r="O228">
        <v>2</v>
      </c>
      <c r="P228">
        <v>329</v>
      </c>
      <c r="Q228" t="s">
        <v>1353</v>
      </c>
      <c r="R228">
        <v>0</v>
      </c>
      <c r="S228">
        <v>2</v>
      </c>
      <c r="T228">
        <v>39</v>
      </c>
      <c r="U228">
        <v>9</v>
      </c>
      <c r="V228">
        <v>29.9</v>
      </c>
      <c r="W228">
        <v>129.02000000000001</v>
      </c>
      <c r="X228">
        <v>8</v>
      </c>
      <c r="Y228">
        <v>0</v>
      </c>
      <c r="Z228">
        <v>0</v>
      </c>
      <c r="AA228">
        <v>0</v>
      </c>
    </row>
    <row r="229" spans="1:39" x14ac:dyDescent="0.3">
      <c r="A229" t="s">
        <v>1354</v>
      </c>
      <c r="B229" t="s">
        <v>1283</v>
      </c>
      <c r="C229" t="s">
        <v>1355</v>
      </c>
      <c r="D229" t="s">
        <v>85</v>
      </c>
      <c r="E229">
        <v>1.9</v>
      </c>
      <c r="F229" t="s">
        <v>1356</v>
      </c>
      <c r="G229" t="s">
        <v>1357</v>
      </c>
      <c r="H229" t="s">
        <v>1358</v>
      </c>
      <c r="I229" t="s">
        <v>46</v>
      </c>
      <c r="J229" t="s">
        <v>47</v>
      </c>
      <c r="M229">
        <v>133</v>
      </c>
      <c r="N229">
        <v>108</v>
      </c>
      <c r="O229">
        <v>22</v>
      </c>
      <c r="P229">
        <v>2110</v>
      </c>
      <c r="Q229" t="s">
        <v>1359</v>
      </c>
      <c r="R229">
        <v>1</v>
      </c>
      <c r="S229">
        <v>8</v>
      </c>
      <c r="T229">
        <v>191</v>
      </c>
      <c r="U229">
        <v>69</v>
      </c>
      <c r="V229">
        <v>24.53</v>
      </c>
      <c r="W229">
        <v>128.72999999999999</v>
      </c>
      <c r="X229">
        <v>69</v>
      </c>
      <c r="Y229">
        <v>20</v>
      </c>
      <c r="Z229">
        <v>6</v>
      </c>
      <c r="AA229">
        <v>8</v>
      </c>
    </row>
    <row r="230" spans="1:39" x14ac:dyDescent="0.3">
      <c r="A230" t="s">
        <v>1360</v>
      </c>
      <c r="B230" t="s">
        <v>1283</v>
      </c>
      <c r="C230" t="s">
        <v>1361</v>
      </c>
      <c r="D230" t="s">
        <v>52</v>
      </c>
      <c r="E230">
        <v>1.7</v>
      </c>
      <c r="F230" t="s">
        <v>1360</v>
      </c>
      <c r="G230" t="s">
        <v>1362</v>
      </c>
      <c r="H230" t="s">
        <v>1363</v>
      </c>
      <c r="I230" t="s">
        <v>46</v>
      </c>
      <c r="J230" t="s">
        <v>47</v>
      </c>
      <c r="K230" t="s">
        <v>48</v>
      </c>
      <c r="L230" t="s">
        <v>58</v>
      </c>
      <c r="M230">
        <v>19</v>
      </c>
      <c r="N230">
        <v>5</v>
      </c>
      <c r="O230">
        <v>1</v>
      </c>
      <c r="P230">
        <v>40</v>
      </c>
      <c r="Q230" t="s">
        <v>1364</v>
      </c>
      <c r="R230">
        <v>0</v>
      </c>
      <c r="S230">
        <v>0</v>
      </c>
      <c r="T230">
        <v>2</v>
      </c>
      <c r="U230">
        <v>1</v>
      </c>
      <c r="V230">
        <v>10</v>
      </c>
      <c r="W230">
        <v>111.11</v>
      </c>
      <c r="X230">
        <v>6</v>
      </c>
      <c r="Y230">
        <v>0</v>
      </c>
      <c r="Z230">
        <v>1</v>
      </c>
      <c r="AA230">
        <v>2</v>
      </c>
      <c r="AB230">
        <v>19</v>
      </c>
      <c r="AC230">
        <v>61</v>
      </c>
      <c r="AD230">
        <v>0</v>
      </c>
      <c r="AE230">
        <v>419</v>
      </c>
      <c r="AF230">
        <v>8</v>
      </c>
      <c r="AG230" t="s">
        <v>1365</v>
      </c>
      <c r="AH230">
        <v>0</v>
      </c>
      <c r="AI230">
        <v>0</v>
      </c>
      <c r="AJ230">
        <v>52.37</v>
      </c>
      <c r="AK230">
        <v>6.86</v>
      </c>
      <c r="AL230">
        <v>45.75</v>
      </c>
      <c r="AM230">
        <v>19</v>
      </c>
    </row>
    <row r="231" spans="1:39" x14ac:dyDescent="0.3">
      <c r="A231" t="s">
        <v>1366</v>
      </c>
      <c r="B231" t="s">
        <v>1283</v>
      </c>
      <c r="C231" t="s">
        <v>1367</v>
      </c>
      <c r="D231" t="s">
        <v>52</v>
      </c>
      <c r="E231">
        <v>1.4</v>
      </c>
      <c r="F231" t="s">
        <v>1366</v>
      </c>
      <c r="G231" t="s">
        <v>1368</v>
      </c>
      <c r="H231" t="s">
        <v>1369</v>
      </c>
      <c r="I231" t="s">
        <v>46</v>
      </c>
      <c r="J231" t="s">
        <v>47</v>
      </c>
      <c r="K231" t="s">
        <v>89</v>
      </c>
      <c r="L231" t="s">
        <v>58</v>
      </c>
      <c r="M231">
        <v>47</v>
      </c>
      <c r="N231">
        <v>39</v>
      </c>
      <c r="O231">
        <v>12</v>
      </c>
      <c r="P231">
        <v>712</v>
      </c>
      <c r="Q231" t="s">
        <v>1370</v>
      </c>
      <c r="R231">
        <v>0</v>
      </c>
      <c r="S231">
        <v>3</v>
      </c>
      <c r="T231">
        <v>45</v>
      </c>
      <c r="U231">
        <v>28</v>
      </c>
      <c r="V231">
        <v>26.37</v>
      </c>
      <c r="W231">
        <v>126.24</v>
      </c>
      <c r="X231">
        <v>21</v>
      </c>
      <c r="Y231">
        <v>0</v>
      </c>
      <c r="Z231">
        <v>3</v>
      </c>
      <c r="AA231">
        <v>1</v>
      </c>
      <c r="AB231">
        <v>20</v>
      </c>
      <c r="AC231">
        <v>38.1</v>
      </c>
      <c r="AD231">
        <v>0</v>
      </c>
      <c r="AE231">
        <v>329</v>
      </c>
      <c r="AF231">
        <v>9</v>
      </c>
      <c r="AG231" t="s">
        <v>1371</v>
      </c>
      <c r="AH231">
        <v>0</v>
      </c>
      <c r="AI231">
        <v>0</v>
      </c>
      <c r="AJ231">
        <v>36.549999999999997</v>
      </c>
      <c r="AK231">
        <v>8.6199999999999992</v>
      </c>
      <c r="AL231">
        <v>25.44</v>
      </c>
      <c r="AM231">
        <v>20</v>
      </c>
    </row>
    <row r="232" spans="1:39" x14ac:dyDescent="0.3">
      <c r="A232" t="s">
        <v>1372</v>
      </c>
      <c r="B232" t="s">
        <v>1283</v>
      </c>
      <c r="C232" t="s">
        <v>1373</v>
      </c>
      <c r="D232" t="s">
        <v>52</v>
      </c>
      <c r="E232">
        <v>1.1000000000000001</v>
      </c>
      <c r="F232" t="s">
        <v>1374</v>
      </c>
      <c r="G232" s="1">
        <v>35832</v>
      </c>
      <c r="H232" t="s">
        <v>1375</v>
      </c>
      <c r="I232" t="s">
        <v>96</v>
      </c>
      <c r="J232" t="s">
        <v>67</v>
      </c>
      <c r="K232" t="s">
        <v>366</v>
      </c>
    </row>
    <row r="233" spans="1:39" x14ac:dyDescent="0.3">
      <c r="A233" t="s">
        <v>1376</v>
      </c>
      <c r="B233" t="s">
        <v>1283</v>
      </c>
      <c r="C233" t="s">
        <v>1377</v>
      </c>
      <c r="D233" t="s">
        <v>63</v>
      </c>
      <c r="E233">
        <v>0.5</v>
      </c>
      <c r="F233" t="s">
        <v>1378</v>
      </c>
      <c r="G233" t="s">
        <v>1379</v>
      </c>
      <c r="H233" t="s">
        <v>1380</v>
      </c>
      <c r="I233" t="s">
        <v>46</v>
      </c>
      <c r="J233" t="s">
        <v>47</v>
      </c>
      <c r="K233" t="s">
        <v>68</v>
      </c>
      <c r="L233" t="s">
        <v>58</v>
      </c>
      <c r="M233">
        <v>50</v>
      </c>
      <c r="N233">
        <v>13</v>
      </c>
      <c r="O233">
        <v>8</v>
      </c>
      <c r="P233">
        <v>50</v>
      </c>
      <c r="Q233" t="s">
        <v>1381</v>
      </c>
      <c r="R233">
        <v>0</v>
      </c>
      <c r="S233">
        <v>0</v>
      </c>
      <c r="T233">
        <v>2</v>
      </c>
      <c r="U233">
        <v>2</v>
      </c>
      <c r="V233">
        <v>10</v>
      </c>
      <c r="W233">
        <v>69.44</v>
      </c>
      <c r="X233">
        <v>3</v>
      </c>
      <c r="Y233">
        <v>0</v>
      </c>
      <c r="Z233">
        <v>5</v>
      </c>
      <c r="AA233">
        <v>2</v>
      </c>
      <c r="AB233">
        <v>48</v>
      </c>
      <c r="AC233">
        <v>160.4</v>
      </c>
      <c r="AD233">
        <v>2</v>
      </c>
      <c r="AE233">
        <v>1429</v>
      </c>
      <c r="AF233">
        <v>42</v>
      </c>
      <c r="AG233" t="s">
        <v>1382</v>
      </c>
      <c r="AH233">
        <v>1</v>
      </c>
      <c r="AI233">
        <v>0</v>
      </c>
      <c r="AJ233">
        <v>34.020000000000003</v>
      </c>
      <c r="AK233">
        <v>8.89</v>
      </c>
      <c r="AL233">
        <v>22.95</v>
      </c>
      <c r="AM233">
        <v>48</v>
      </c>
    </row>
    <row r="234" spans="1:39" x14ac:dyDescent="0.3">
      <c r="A234" t="s">
        <v>1383</v>
      </c>
      <c r="B234" t="s">
        <v>1283</v>
      </c>
      <c r="C234" t="s">
        <v>1384</v>
      </c>
      <c r="D234" t="s">
        <v>52</v>
      </c>
      <c r="E234">
        <v>0.5</v>
      </c>
      <c r="F234" t="s">
        <v>1385</v>
      </c>
      <c r="G234" t="s">
        <v>1386</v>
      </c>
      <c r="H234" t="s">
        <v>1387</v>
      </c>
      <c r="I234" t="s">
        <v>46</v>
      </c>
      <c r="J234" t="s">
        <v>47</v>
      </c>
      <c r="K234" t="s">
        <v>48</v>
      </c>
      <c r="L234" t="s">
        <v>58</v>
      </c>
      <c r="M234">
        <v>41</v>
      </c>
      <c r="N234">
        <v>32</v>
      </c>
      <c r="O234">
        <v>8</v>
      </c>
      <c r="P234">
        <v>511</v>
      </c>
      <c r="Q234" t="s">
        <v>1388</v>
      </c>
      <c r="R234">
        <v>0</v>
      </c>
      <c r="S234">
        <v>2</v>
      </c>
      <c r="T234">
        <v>55</v>
      </c>
      <c r="U234">
        <v>11</v>
      </c>
      <c r="V234">
        <v>21.29</v>
      </c>
      <c r="W234">
        <v>121.09</v>
      </c>
      <c r="X234">
        <v>19</v>
      </c>
      <c r="Y234">
        <v>1</v>
      </c>
      <c r="Z234">
        <v>4</v>
      </c>
      <c r="AA234">
        <v>1</v>
      </c>
      <c r="AB234">
        <v>6</v>
      </c>
      <c r="AC234">
        <v>13</v>
      </c>
      <c r="AD234">
        <v>0</v>
      </c>
      <c r="AE234">
        <v>97</v>
      </c>
      <c r="AF234">
        <v>5</v>
      </c>
      <c r="AG234" t="s">
        <v>1389</v>
      </c>
      <c r="AH234">
        <v>0</v>
      </c>
      <c r="AI234">
        <v>0</v>
      </c>
      <c r="AJ234">
        <v>19.399999999999999</v>
      </c>
      <c r="AK234">
        <v>7.46</v>
      </c>
      <c r="AL234">
        <v>15.6</v>
      </c>
      <c r="AM234">
        <v>6</v>
      </c>
    </row>
    <row r="235" spans="1:39" x14ac:dyDescent="0.3">
      <c r="A235" t="s">
        <v>1390</v>
      </c>
      <c r="B235" t="s">
        <v>1283</v>
      </c>
      <c r="C235" t="s">
        <v>1391</v>
      </c>
      <c r="D235" t="s">
        <v>63</v>
      </c>
      <c r="E235">
        <v>0.3</v>
      </c>
      <c r="F235" t="s">
        <v>1392</v>
      </c>
      <c r="G235" s="1">
        <v>38355</v>
      </c>
      <c r="H235" t="s">
        <v>1393</v>
      </c>
      <c r="I235" t="s">
        <v>307</v>
      </c>
      <c r="J235" t="s">
        <v>47</v>
      </c>
      <c r="K235" t="s">
        <v>1089</v>
      </c>
    </row>
    <row r="236" spans="1:39" x14ac:dyDescent="0.3">
      <c r="A236" t="s">
        <v>1394</v>
      </c>
      <c r="B236" t="s">
        <v>1283</v>
      </c>
      <c r="C236" t="s">
        <v>1395</v>
      </c>
      <c r="D236" t="s">
        <v>52</v>
      </c>
      <c r="E236">
        <v>0.2</v>
      </c>
      <c r="F236" t="s">
        <v>1396</v>
      </c>
      <c r="G236" t="s">
        <v>1397</v>
      </c>
      <c r="H236" t="s">
        <v>1398</v>
      </c>
      <c r="I236" t="s">
        <v>46</v>
      </c>
      <c r="J236" t="s">
        <v>47</v>
      </c>
      <c r="K236" t="s">
        <v>124</v>
      </c>
    </row>
    <row r="237" spans="1:39" x14ac:dyDescent="0.3">
      <c r="A237" t="s">
        <v>1399</v>
      </c>
      <c r="B237" t="s">
        <v>1283</v>
      </c>
      <c r="C237" t="s">
        <v>1400</v>
      </c>
      <c r="D237" t="s">
        <v>52</v>
      </c>
      <c r="E237">
        <v>0.2</v>
      </c>
      <c r="F237" t="s">
        <v>1401</v>
      </c>
      <c r="G237" s="1">
        <v>37179</v>
      </c>
      <c r="H237" t="s">
        <v>1402</v>
      </c>
      <c r="I237" t="s">
        <v>46</v>
      </c>
      <c r="J237" t="s">
        <v>67</v>
      </c>
      <c r="K237" t="s">
        <v>57</v>
      </c>
    </row>
    <row r="238" spans="1:39" x14ac:dyDescent="0.3">
      <c r="A238" t="s">
        <v>1403</v>
      </c>
      <c r="B238" t="s">
        <v>1283</v>
      </c>
      <c r="C238" t="s">
        <v>1404</v>
      </c>
      <c r="D238" t="s">
        <v>52</v>
      </c>
      <c r="E238">
        <v>0.2</v>
      </c>
      <c r="F238" t="s">
        <v>1405</v>
      </c>
      <c r="G238" t="s">
        <v>1406</v>
      </c>
      <c r="H238" t="s">
        <v>1407</v>
      </c>
      <c r="I238" t="s">
        <v>46</v>
      </c>
      <c r="J238" t="s">
        <v>47</v>
      </c>
      <c r="K238" t="s">
        <v>267</v>
      </c>
      <c r="L238" t="s">
        <v>58</v>
      </c>
      <c r="M238">
        <v>39</v>
      </c>
      <c r="N238">
        <v>14</v>
      </c>
      <c r="O238">
        <v>7</v>
      </c>
      <c r="P238">
        <v>24</v>
      </c>
      <c r="Q238" t="s">
        <v>1408</v>
      </c>
      <c r="R238">
        <v>0</v>
      </c>
      <c r="S238">
        <v>0</v>
      </c>
      <c r="T238">
        <v>1</v>
      </c>
      <c r="U238">
        <v>0</v>
      </c>
      <c r="V238">
        <v>3.42</v>
      </c>
      <c r="W238">
        <v>61.53</v>
      </c>
      <c r="X238">
        <v>6</v>
      </c>
      <c r="Y238">
        <v>0</v>
      </c>
      <c r="Z238">
        <v>6</v>
      </c>
      <c r="AA238">
        <v>1</v>
      </c>
      <c r="AB238">
        <v>39</v>
      </c>
      <c r="AC238">
        <v>133.4</v>
      </c>
      <c r="AD238">
        <v>1</v>
      </c>
      <c r="AE238">
        <v>1175</v>
      </c>
      <c r="AF238">
        <v>35</v>
      </c>
      <c r="AG238" t="s">
        <v>1409</v>
      </c>
      <c r="AH238">
        <v>3</v>
      </c>
      <c r="AI238">
        <v>0</v>
      </c>
      <c r="AJ238">
        <v>33.57</v>
      </c>
      <c r="AK238">
        <v>8.7899999999999991</v>
      </c>
      <c r="AL238">
        <v>22.91</v>
      </c>
      <c r="AM238">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FF8C-D2C0-4C42-8063-0CB08AC86AB7}">
  <dimension ref="A3:B11"/>
  <sheetViews>
    <sheetView workbookViewId="0">
      <selection activeCell="H27" sqref="H27"/>
    </sheetView>
  </sheetViews>
  <sheetFormatPr defaultRowHeight="14.4" x14ac:dyDescent="0.3"/>
  <cols>
    <col min="1" max="1" width="13.109375" bestFit="1" customWidth="1"/>
    <col min="2" max="3" width="18.77734375" bestFit="1" customWidth="1"/>
    <col min="4" max="4" width="18.44140625" bestFit="1" customWidth="1"/>
  </cols>
  <sheetData>
    <row r="3" spans="1:2" x14ac:dyDescent="0.3">
      <c r="A3" s="2" t="s">
        <v>1410</v>
      </c>
      <c r="B3" t="s">
        <v>1422</v>
      </c>
    </row>
    <row r="4" spans="1:2" x14ac:dyDescent="0.3">
      <c r="A4" s="3" t="s">
        <v>568</v>
      </c>
      <c r="B4" s="7">
        <v>54</v>
      </c>
    </row>
    <row r="5" spans="1:2" x14ac:dyDescent="0.3">
      <c r="A5" s="3" t="s">
        <v>490</v>
      </c>
      <c r="B5" s="7">
        <v>63</v>
      </c>
    </row>
    <row r="6" spans="1:2" x14ac:dyDescent="0.3">
      <c r="A6" s="3" t="s">
        <v>574</v>
      </c>
      <c r="B6" s="7">
        <v>68</v>
      </c>
    </row>
    <row r="7" spans="1:2" x14ac:dyDescent="0.3">
      <c r="A7" s="3" t="s">
        <v>483</v>
      </c>
      <c r="B7" s="7">
        <v>97</v>
      </c>
    </row>
    <row r="8" spans="1:2" x14ac:dyDescent="0.3">
      <c r="A8" s="3" t="s">
        <v>510</v>
      </c>
      <c r="B8" s="7">
        <v>100</v>
      </c>
    </row>
    <row r="9" spans="1:2" x14ac:dyDescent="0.3">
      <c r="A9" s="3" t="s">
        <v>476</v>
      </c>
      <c r="B9" s="7">
        <v>207</v>
      </c>
    </row>
    <row r="10" spans="1:2" x14ac:dyDescent="0.3">
      <c r="A10" s="3" t="s">
        <v>523</v>
      </c>
      <c r="B10" s="7">
        <v>213</v>
      </c>
    </row>
    <row r="11" spans="1:2" x14ac:dyDescent="0.3">
      <c r="A11" s="3" t="s">
        <v>1411</v>
      </c>
      <c r="B11" s="7">
        <v>802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E033A-1705-4812-8828-2861C1566216}">
  <dimension ref="A3:E11"/>
  <sheetViews>
    <sheetView topLeftCell="A4" workbookViewId="0">
      <selection activeCell="B7" sqref="B7"/>
    </sheetView>
  </sheetViews>
  <sheetFormatPr defaultRowHeight="14.4" x14ac:dyDescent="0.3"/>
  <cols>
    <col min="1" max="1" width="14.109375" bestFit="1" customWidth="1"/>
    <col min="2" max="3" width="9.21875" bestFit="1" customWidth="1"/>
  </cols>
  <sheetData>
    <row r="3" spans="1:5" x14ac:dyDescent="0.3">
      <c r="A3" s="2" t="s">
        <v>1410</v>
      </c>
      <c r="B3" t="s">
        <v>1423</v>
      </c>
      <c r="C3" t="s">
        <v>1421</v>
      </c>
      <c r="D3" s="6"/>
      <c r="E3" s="6"/>
    </row>
    <row r="4" spans="1:5" x14ac:dyDescent="0.3">
      <c r="A4" s="3" t="s">
        <v>476</v>
      </c>
      <c r="B4" s="7">
        <v>546</v>
      </c>
      <c r="C4" s="7">
        <v>210</v>
      </c>
    </row>
    <row r="5" spans="1:5" x14ac:dyDescent="0.3">
      <c r="A5" s="3" t="s">
        <v>523</v>
      </c>
      <c r="B5" s="7">
        <v>399</v>
      </c>
      <c r="C5" s="7">
        <v>112</v>
      </c>
    </row>
    <row r="6" spans="1:5" x14ac:dyDescent="0.3">
      <c r="A6" s="3" t="s">
        <v>510</v>
      </c>
      <c r="B6" s="7">
        <v>265</v>
      </c>
      <c r="C6" s="7">
        <v>96</v>
      </c>
    </row>
    <row r="7" spans="1:5" x14ac:dyDescent="0.3">
      <c r="A7" s="3" t="s">
        <v>483</v>
      </c>
      <c r="B7" s="7">
        <v>166</v>
      </c>
      <c r="C7" s="7">
        <v>112</v>
      </c>
    </row>
    <row r="8" spans="1:5" x14ac:dyDescent="0.3">
      <c r="A8" s="3" t="s">
        <v>574</v>
      </c>
      <c r="B8" s="7">
        <v>18</v>
      </c>
      <c r="C8" s="7">
        <v>14</v>
      </c>
    </row>
    <row r="9" spans="1:5" x14ac:dyDescent="0.3">
      <c r="A9" s="3" t="s">
        <v>490</v>
      </c>
      <c r="B9" s="7">
        <v>11</v>
      </c>
      <c r="C9" s="7">
        <v>11</v>
      </c>
    </row>
    <row r="10" spans="1:5" x14ac:dyDescent="0.3">
      <c r="A10" s="3" t="s">
        <v>550</v>
      </c>
      <c r="B10" s="7">
        <v>8</v>
      </c>
      <c r="C10" s="7">
        <v>9</v>
      </c>
    </row>
    <row r="11" spans="1:5" x14ac:dyDescent="0.3">
      <c r="A11" s="3" t="s">
        <v>1411</v>
      </c>
      <c r="B11" s="7">
        <v>1413</v>
      </c>
      <c r="C11" s="7">
        <v>564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B3307-B25F-47C7-B5D0-AF340183838A}">
  <dimension ref="A3:B12"/>
  <sheetViews>
    <sheetView workbookViewId="0">
      <selection activeCell="D4" sqref="C4:D6"/>
    </sheetView>
  </sheetViews>
  <sheetFormatPr defaultRowHeight="14.4" x14ac:dyDescent="0.3"/>
  <cols>
    <col min="1" max="1" width="12.5546875" bestFit="1" customWidth="1"/>
    <col min="2" max="2" width="20.109375" bestFit="1" customWidth="1"/>
  </cols>
  <sheetData>
    <row r="3" spans="1:2" x14ac:dyDescent="0.3">
      <c r="A3" s="2" t="s">
        <v>1410</v>
      </c>
      <c r="B3" t="s">
        <v>1419</v>
      </c>
    </row>
    <row r="4" spans="1:2" x14ac:dyDescent="0.3">
      <c r="A4" s="3" t="s">
        <v>46</v>
      </c>
      <c r="B4" s="7">
        <v>13</v>
      </c>
    </row>
    <row r="5" spans="1:2" x14ac:dyDescent="0.3">
      <c r="A5" s="3" t="s">
        <v>135</v>
      </c>
      <c r="B5" s="7">
        <v>3</v>
      </c>
    </row>
    <row r="6" spans="1:2" x14ac:dyDescent="0.3">
      <c r="A6" s="3" t="s">
        <v>56</v>
      </c>
      <c r="B6" s="7">
        <v>1</v>
      </c>
    </row>
    <row r="7" spans="1:2" x14ac:dyDescent="0.3">
      <c r="A7" s="3" t="s">
        <v>205</v>
      </c>
      <c r="B7" s="7">
        <v>1</v>
      </c>
    </row>
    <row r="8" spans="1:2" x14ac:dyDescent="0.3">
      <c r="A8" s="3" t="s">
        <v>66</v>
      </c>
      <c r="B8" s="7">
        <v>1</v>
      </c>
    </row>
    <row r="9" spans="1:2" x14ac:dyDescent="0.3">
      <c r="A9" s="3" t="s">
        <v>152</v>
      </c>
      <c r="B9" s="7">
        <v>1</v>
      </c>
    </row>
    <row r="10" spans="1:2" x14ac:dyDescent="0.3">
      <c r="A10" s="3" t="s">
        <v>96</v>
      </c>
      <c r="B10" s="7">
        <v>1</v>
      </c>
    </row>
    <row r="11" spans="1:2" x14ac:dyDescent="0.3">
      <c r="A11" s="3" t="s">
        <v>1420</v>
      </c>
      <c r="B11" s="7"/>
    </row>
    <row r="12" spans="1:2" x14ac:dyDescent="0.3">
      <c r="A12" s="3" t="s">
        <v>1411</v>
      </c>
      <c r="B12" s="7">
        <v>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AE340-AF32-4C7A-BC5C-6BE12E4FE7CB}">
  <dimension ref="A3:B11"/>
  <sheetViews>
    <sheetView workbookViewId="0">
      <selection activeCell="B4" sqref="B4"/>
    </sheetView>
  </sheetViews>
  <sheetFormatPr defaultRowHeight="14.4" x14ac:dyDescent="0.3"/>
  <cols>
    <col min="1" max="1" width="14.88671875" bestFit="1" customWidth="1"/>
    <col min="2" max="2" width="14.109375" bestFit="1" customWidth="1"/>
  </cols>
  <sheetData>
    <row r="3" spans="1:2" x14ac:dyDescent="0.3">
      <c r="A3" s="2" t="s">
        <v>1410</v>
      </c>
      <c r="B3" t="s">
        <v>1417</v>
      </c>
    </row>
    <row r="4" spans="1:2" x14ac:dyDescent="0.3">
      <c r="A4" s="3" t="s">
        <v>490</v>
      </c>
      <c r="B4" s="7">
        <v>78</v>
      </c>
    </row>
    <row r="5" spans="1:2" x14ac:dyDescent="0.3">
      <c r="A5" s="3" t="s">
        <v>574</v>
      </c>
      <c r="B5" s="7">
        <v>59</v>
      </c>
    </row>
    <row r="6" spans="1:2" x14ac:dyDescent="0.3">
      <c r="A6" s="3" t="s">
        <v>568</v>
      </c>
      <c r="B6" s="7">
        <v>58</v>
      </c>
    </row>
    <row r="7" spans="1:2" x14ac:dyDescent="0.3">
      <c r="A7" s="3" t="s">
        <v>517</v>
      </c>
      <c r="B7" s="7">
        <v>50</v>
      </c>
    </row>
    <row r="8" spans="1:2" x14ac:dyDescent="0.3">
      <c r="A8" s="3" t="s">
        <v>483</v>
      </c>
      <c r="B8" s="7">
        <v>22</v>
      </c>
    </row>
    <row r="9" spans="1:2" x14ac:dyDescent="0.3">
      <c r="A9" s="3" t="s">
        <v>504</v>
      </c>
      <c r="B9" s="7">
        <v>12</v>
      </c>
    </row>
    <row r="10" spans="1:2" x14ac:dyDescent="0.3">
      <c r="A10" s="3" t="s">
        <v>533</v>
      </c>
      <c r="B10" s="7">
        <v>9</v>
      </c>
    </row>
    <row r="11" spans="1:2" x14ac:dyDescent="0.3">
      <c r="A11" s="3" t="s">
        <v>1411</v>
      </c>
      <c r="B11" s="7">
        <v>288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B11"/>
  <sheetViews>
    <sheetView workbookViewId="0">
      <selection activeCell="B9" sqref="B9"/>
    </sheetView>
  </sheetViews>
  <sheetFormatPr defaultRowHeight="14.4" x14ac:dyDescent="0.3"/>
  <cols>
    <col min="1" max="1" width="14.109375" bestFit="1" customWidth="1"/>
    <col min="2" max="2" width="17.5546875" bestFit="1" customWidth="1"/>
    <col min="3" max="3" width="5" bestFit="1" customWidth="1"/>
    <col min="4" max="4" width="3.21875" bestFit="1" customWidth="1"/>
    <col min="5" max="7" width="5" bestFit="1" customWidth="1"/>
    <col min="8" max="8" width="5.33203125" bestFit="1" customWidth="1"/>
    <col min="9" max="9" width="6" bestFit="1" customWidth="1"/>
    <col min="10" max="10" width="3.21875" bestFit="1" customWidth="1"/>
    <col min="11" max="11" width="4.33203125" bestFit="1" customWidth="1"/>
    <col min="12" max="12" width="10.77734375" bestFit="1" customWidth="1"/>
  </cols>
  <sheetData>
    <row r="3" spans="1:2" x14ac:dyDescent="0.3">
      <c r="A3" s="2" t="s">
        <v>1410</v>
      </c>
      <c r="B3" t="s">
        <v>1416</v>
      </c>
    </row>
    <row r="4" spans="1:2" x14ac:dyDescent="0.3">
      <c r="A4" s="3" t="s">
        <v>476</v>
      </c>
      <c r="B4" s="7">
        <v>6283</v>
      </c>
    </row>
    <row r="5" spans="1:2" x14ac:dyDescent="0.3">
      <c r="A5" s="3" t="s">
        <v>523</v>
      </c>
      <c r="B5" s="7">
        <v>4046</v>
      </c>
    </row>
    <row r="6" spans="1:2" x14ac:dyDescent="0.3">
      <c r="A6" s="3" t="s">
        <v>510</v>
      </c>
      <c r="B6" s="7">
        <v>2935</v>
      </c>
    </row>
    <row r="7" spans="1:2" x14ac:dyDescent="0.3">
      <c r="A7" s="3" t="s">
        <v>483</v>
      </c>
      <c r="B7" s="7">
        <v>2018</v>
      </c>
    </row>
    <row r="8" spans="1:2" x14ac:dyDescent="0.3">
      <c r="A8" s="3" t="s">
        <v>574</v>
      </c>
      <c r="B8" s="7">
        <v>317</v>
      </c>
    </row>
    <row r="9" spans="1:2" x14ac:dyDescent="0.3">
      <c r="A9" s="3" t="s">
        <v>490</v>
      </c>
      <c r="B9" s="7">
        <v>187</v>
      </c>
    </row>
    <row r="10" spans="1:2" x14ac:dyDescent="0.3">
      <c r="A10" s="3" t="s">
        <v>550</v>
      </c>
      <c r="B10" s="7">
        <v>181</v>
      </c>
    </row>
    <row r="11" spans="1:2" x14ac:dyDescent="0.3">
      <c r="A11" s="3" t="s">
        <v>1411</v>
      </c>
      <c r="B11" s="7">
        <v>15967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L68"/>
  <sheetViews>
    <sheetView topLeftCell="B1" workbookViewId="0">
      <selection activeCell="J18" sqref="J18"/>
    </sheetView>
  </sheetViews>
  <sheetFormatPr defaultRowHeight="14.4" x14ac:dyDescent="0.3"/>
  <cols>
    <col min="1" max="1" width="17.5546875" bestFit="1" customWidth="1"/>
    <col min="2" max="2" width="12.88671875" bestFit="1" customWidth="1"/>
    <col min="3" max="3" width="16.109375" bestFit="1" customWidth="1"/>
    <col min="4" max="4" width="13.5546875" bestFit="1" customWidth="1"/>
    <col min="8" max="8" width="10.77734375" bestFit="1" customWidth="1"/>
    <col min="9" max="9" width="13.5546875" bestFit="1" customWidth="1"/>
    <col min="12" max="12" width="11.44140625" bestFit="1" customWidth="1"/>
  </cols>
  <sheetData>
    <row r="2" spans="1:12" x14ac:dyDescent="0.3">
      <c r="A2" s="2" t="s">
        <v>1410</v>
      </c>
      <c r="C2" s="4" t="s">
        <v>1413</v>
      </c>
      <c r="H2" s="2" t="s">
        <v>1410</v>
      </c>
      <c r="I2" t="s">
        <v>1412</v>
      </c>
      <c r="K2" s="4" t="s">
        <v>1</v>
      </c>
      <c r="L2" s="4" t="s">
        <v>1414</v>
      </c>
    </row>
    <row r="3" spans="1:12" x14ac:dyDescent="0.3">
      <c r="A3" s="3" t="s">
        <v>477</v>
      </c>
      <c r="C3" t="str">
        <f>A3</f>
        <v>RCB</v>
      </c>
      <c r="H3" s="3" t="s">
        <v>477</v>
      </c>
      <c r="I3" s="7">
        <v>22</v>
      </c>
      <c r="K3" t="str">
        <f>H3</f>
        <v>RCB</v>
      </c>
      <c r="L3">
        <f>GETPIVOTDATA("Team",$H$2,"Team",K3)</f>
        <v>22</v>
      </c>
    </row>
    <row r="4" spans="1:12" x14ac:dyDescent="0.3">
      <c r="A4" s="3" t="s">
        <v>1411</v>
      </c>
      <c r="C4" t="str">
        <f t="shared" ref="C4:C12" si="0">A4</f>
        <v>Grand Total</v>
      </c>
      <c r="H4" s="3" t="s">
        <v>1411</v>
      </c>
      <c r="I4" s="7">
        <v>22</v>
      </c>
      <c r="K4" t="str">
        <f t="shared" ref="K4:K12" si="1">H4</f>
        <v>Grand Total</v>
      </c>
      <c r="L4" t="e">
        <f t="shared" ref="L4:L12" si="2">GETPIVOTDATA("Team",$H$2,"Team",K4)</f>
        <v>#REF!</v>
      </c>
    </row>
    <row r="5" spans="1:12" x14ac:dyDescent="0.3">
      <c r="C5">
        <f t="shared" si="0"/>
        <v>0</v>
      </c>
      <c r="K5">
        <f t="shared" si="1"/>
        <v>0</v>
      </c>
      <c r="L5" t="e">
        <f t="shared" si="2"/>
        <v>#REF!</v>
      </c>
    </row>
    <row r="6" spans="1:12" x14ac:dyDescent="0.3">
      <c r="C6">
        <f t="shared" si="0"/>
        <v>0</v>
      </c>
      <c r="K6">
        <f t="shared" si="1"/>
        <v>0</v>
      </c>
      <c r="L6" t="e">
        <f t="shared" si="2"/>
        <v>#REF!</v>
      </c>
    </row>
    <row r="7" spans="1:12" x14ac:dyDescent="0.3">
      <c r="C7">
        <f t="shared" si="0"/>
        <v>0</v>
      </c>
      <c r="K7">
        <f t="shared" si="1"/>
        <v>0</v>
      </c>
      <c r="L7" t="e">
        <f t="shared" si="2"/>
        <v>#REF!</v>
      </c>
    </row>
    <row r="8" spans="1:12" x14ac:dyDescent="0.3">
      <c r="C8">
        <f t="shared" si="0"/>
        <v>0</v>
      </c>
      <c r="K8">
        <f t="shared" si="1"/>
        <v>0</v>
      </c>
      <c r="L8" t="e">
        <f t="shared" si="2"/>
        <v>#REF!</v>
      </c>
    </row>
    <row r="9" spans="1:12" x14ac:dyDescent="0.3">
      <c r="C9">
        <f t="shared" si="0"/>
        <v>0</v>
      </c>
      <c r="K9">
        <f t="shared" si="1"/>
        <v>0</v>
      </c>
      <c r="L9" t="e">
        <f t="shared" si="2"/>
        <v>#REF!</v>
      </c>
    </row>
    <row r="10" spans="1:12" x14ac:dyDescent="0.3">
      <c r="C10">
        <f t="shared" si="0"/>
        <v>0</v>
      </c>
      <c r="K10">
        <f t="shared" si="1"/>
        <v>0</v>
      </c>
      <c r="L10" t="e">
        <f t="shared" si="2"/>
        <v>#REF!</v>
      </c>
    </row>
    <row r="11" spans="1:12" x14ac:dyDescent="0.3">
      <c r="C11">
        <f t="shared" si="0"/>
        <v>0</v>
      </c>
      <c r="K11">
        <f t="shared" si="1"/>
        <v>0</v>
      </c>
      <c r="L11" t="e">
        <f t="shared" si="2"/>
        <v>#REF!</v>
      </c>
    </row>
    <row r="12" spans="1:12" x14ac:dyDescent="0.3">
      <c r="C12">
        <f t="shared" si="0"/>
        <v>0</v>
      </c>
      <c r="K12">
        <f t="shared" si="1"/>
        <v>0</v>
      </c>
      <c r="L12" t="e">
        <f t="shared" si="2"/>
        <v>#REF!</v>
      </c>
    </row>
    <row r="17" spans="1:8" x14ac:dyDescent="0.3">
      <c r="H17" s="2" t="s">
        <v>200</v>
      </c>
    </row>
    <row r="18" spans="1:8" x14ac:dyDescent="0.3">
      <c r="A18" s="2" t="s">
        <v>1410</v>
      </c>
      <c r="B18" t="s">
        <v>1415</v>
      </c>
      <c r="H18" s="3" t="s">
        <v>477</v>
      </c>
    </row>
    <row r="19" spans="1:8" x14ac:dyDescent="0.3">
      <c r="A19" s="3" t="s">
        <v>477</v>
      </c>
      <c r="B19" s="7">
        <v>22</v>
      </c>
      <c r="D19" t="str">
        <f>A19</f>
        <v>RCB</v>
      </c>
      <c r="H19" s="3" t="s">
        <v>1411</v>
      </c>
    </row>
    <row r="20" spans="1:8" x14ac:dyDescent="0.3">
      <c r="A20" s="5" t="s">
        <v>52</v>
      </c>
      <c r="B20" s="7">
        <v>9</v>
      </c>
      <c r="D20" t="str">
        <f t="shared" ref="D20:D68" si="3">A20</f>
        <v xml:space="preserve">All-Rounder </v>
      </c>
      <c r="E20">
        <f>GETPIVOTDATA("Type",$A$18,"Team",$A$19,"Type",A20)</f>
        <v>9</v>
      </c>
    </row>
    <row r="21" spans="1:8" x14ac:dyDescent="0.3">
      <c r="A21" s="5" t="s">
        <v>42</v>
      </c>
      <c r="B21" s="7">
        <v>3</v>
      </c>
      <c r="D21" t="str">
        <f t="shared" si="3"/>
        <v xml:space="preserve">Batsman </v>
      </c>
      <c r="E21">
        <f t="shared" ref="E21:E23" si="4">GETPIVOTDATA("Type",$A$18,"Team",$A$19,"Type",A21)</f>
        <v>3</v>
      </c>
    </row>
    <row r="22" spans="1:8" x14ac:dyDescent="0.3">
      <c r="A22" s="5" t="s">
        <v>63</v>
      </c>
      <c r="B22" s="7">
        <v>7</v>
      </c>
      <c r="D22" t="str">
        <f t="shared" si="3"/>
        <v xml:space="preserve">Bowler </v>
      </c>
      <c r="E22">
        <f t="shared" si="4"/>
        <v>7</v>
      </c>
    </row>
    <row r="23" spans="1:8" x14ac:dyDescent="0.3">
      <c r="A23" s="5" t="s">
        <v>85</v>
      </c>
      <c r="B23" s="7">
        <v>3</v>
      </c>
      <c r="D23" t="str">
        <f t="shared" si="3"/>
        <v xml:space="preserve">Wicket-Keeper </v>
      </c>
      <c r="E23">
        <f t="shared" si="4"/>
        <v>3</v>
      </c>
    </row>
    <row r="24" spans="1:8" x14ac:dyDescent="0.3">
      <c r="A24" s="3" t="s">
        <v>1411</v>
      </c>
      <c r="B24" s="7">
        <v>22</v>
      </c>
      <c r="D24" t="str">
        <f t="shared" si="3"/>
        <v>Grand Total</v>
      </c>
    </row>
    <row r="25" spans="1:8" x14ac:dyDescent="0.3">
      <c r="D25">
        <f t="shared" si="3"/>
        <v>0</v>
      </c>
      <c r="E25" t="e">
        <f>GETPIVOTDATA("Type",$A$18,"Team",$A$24,"Type",A25)</f>
        <v>#REF!</v>
      </c>
    </row>
    <row r="26" spans="1:8" x14ac:dyDescent="0.3">
      <c r="D26">
        <f t="shared" si="3"/>
        <v>0</v>
      </c>
      <c r="E26" t="e">
        <f t="shared" ref="E26:E28" si="5">GETPIVOTDATA("Type",$A$18,"Team",$A$24,"Type",A26)</f>
        <v>#REF!</v>
      </c>
    </row>
    <row r="27" spans="1:8" x14ac:dyDescent="0.3">
      <c r="D27">
        <f t="shared" si="3"/>
        <v>0</v>
      </c>
      <c r="E27" t="e">
        <f t="shared" si="5"/>
        <v>#REF!</v>
      </c>
    </row>
    <row r="28" spans="1:8" x14ac:dyDescent="0.3">
      <c r="D28">
        <f t="shared" si="3"/>
        <v>0</v>
      </c>
      <c r="E28" t="e">
        <f t="shared" si="5"/>
        <v>#REF!</v>
      </c>
    </row>
    <row r="29" spans="1:8" x14ac:dyDescent="0.3">
      <c r="D29">
        <f t="shared" si="3"/>
        <v>0</v>
      </c>
    </row>
    <row r="30" spans="1:8" x14ac:dyDescent="0.3">
      <c r="D30">
        <f t="shared" si="3"/>
        <v>0</v>
      </c>
      <c r="E30" t="e">
        <f>GETPIVOTDATA("Type",$A$18,"Team",$A$29,"Type",A30)</f>
        <v>#REF!</v>
      </c>
    </row>
    <row r="31" spans="1:8" x14ac:dyDescent="0.3">
      <c r="D31">
        <f t="shared" si="3"/>
        <v>0</v>
      </c>
      <c r="E31" t="e">
        <f t="shared" ref="E31:E33" si="6">GETPIVOTDATA("Type",$A$18,"Team",$A$29,"Type",A31)</f>
        <v>#REF!</v>
      </c>
    </row>
    <row r="32" spans="1:8" x14ac:dyDescent="0.3">
      <c r="D32">
        <f t="shared" si="3"/>
        <v>0</v>
      </c>
      <c r="E32" t="e">
        <f t="shared" si="6"/>
        <v>#REF!</v>
      </c>
    </row>
    <row r="33" spans="4:5" x14ac:dyDescent="0.3">
      <c r="D33">
        <f t="shared" si="3"/>
        <v>0</v>
      </c>
      <c r="E33" t="e">
        <f t="shared" si="6"/>
        <v>#REF!</v>
      </c>
    </row>
    <row r="34" spans="4:5" x14ac:dyDescent="0.3">
      <c r="D34">
        <f t="shared" si="3"/>
        <v>0</v>
      </c>
    </row>
    <row r="35" spans="4:5" x14ac:dyDescent="0.3">
      <c r="D35">
        <f t="shared" si="3"/>
        <v>0</v>
      </c>
      <c r="E35" t="e">
        <f>GETPIVOTDATA("Type",$A$18,"Team",$A$34,"Type",A35)</f>
        <v>#REF!</v>
      </c>
    </row>
    <row r="36" spans="4:5" x14ac:dyDescent="0.3">
      <c r="D36">
        <f t="shared" si="3"/>
        <v>0</v>
      </c>
      <c r="E36" t="e">
        <f t="shared" ref="E36:E38" si="7">GETPIVOTDATA("Type",$A$18,"Team",$A$34,"Type",A36)</f>
        <v>#REF!</v>
      </c>
    </row>
    <row r="37" spans="4:5" x14ac:dyDescent="0.3">
      <c r="D37">
        <f t="shared" si="3"/>
        <v>0</v>
      </c>
      <c r="E37" t="e">
        <f t="shared" si="7"/>
        <v>#REF!</v>
      </c>
    </row>
    <row r="38" spans="4:5" x14ac:dyDescent="0.3">
      <c r="D38">
        <f t="shared" si="3"/>
        <v>0</v>
      </c>
      <c r="E38" t="e">
        <f t="shared" si="7"/>
        <v>#REF!</v>
      </c>
    </row>
    <row r="39" spans="4:5" x14ac:dyDescent="0.3">
      <c r="D39">
        <f t="shared" si="3"/>
        <v>0</v>
      </c>
    </row>
    <row r="40" spans="4:5" x14ac:dyDescent="0.3">
      <c r="D40">
        <f t="shared" si="3"/>
        <v>0</v>
      </c>
      <c r="E40" t="e">
        <f>GETPIVOTDATA("Type",$A$18,"Team",$A$39,"Type",A40)</f>
        <v>#REF!</v>
      </c>
    </row>
    <row r="41" spans="4:5" x14ac:dyDescent="0.3">
      <c r="D41">
        <f t="shared" si="3"/>
        <v>0</v>
      </c>
      <c r="E41" t="e">
        <f t="shared" ref="E41:E43" si="8">GETPIVOTDATA("Type",$A$18,"Team",$A$39,"Type",A41)</f>
        <v>#REF!</v>
      </c>
    </row>
    <row r="42" spans="4:5" x14ac:dyDescent="0.3">
      <c r="D42">
        <f t="shared" si="3"/>
        <v>0</v>
      </c>
      <c r="E42" t="e">
        <f t="shared" si="8"/>
        <v>#REF!</v>
      </c>
    </row>
    <row r="43" spans="4:5" x14ac:dyDescent="0.3">
      <c r="D43">
        <f t="shared" si="3"/>
        <v>0</v>
      </c>
      <c r="E43" t="e">
        <f t="shared" si="8"/>
        <v>#REF!</v>
      </c>
    </row>
    <row r="44" spans="4:5" x14ac:dyDescent="0.3">
      <c r="D44">
        <f t="shared" si="3"/>
        <v>0</v>
      </c>
    </row>
    <row r="45" spans="4:5" x14ac:dyDescent="0.3">
      <c r="D45">
        <f t="shared" si="3"/>
        <v>0</v>
      </c>
      <c r="E45" t="e">
        <f>GETPIVOTDATA("Type",$A$18,"Team",$A$44,"Type",A45)</f>
        <v>#REF!</v>
      </c>
    </row>
    <row r="46" spans="4:5" x14ac:dyDescent="0.3">
      <c r="D46">
        <f t="shared" si="3"/>
        <v>0</v>
      </c>
      <c r="E46" t="e">
        <f t="shared" ref="E46:E48" si="9">GETPIVOTDATA("Type",$A$18,"Team",$A$44,"Type",A46)</f>
        <v>#REF!</v>
      </c>
    </row>
    <row r="47" spans="4:5" x14ac:dyDescent="0.3">
      <c r="D47">
        <f t="shared" si="3"/>
        <v>0</v>
      </c>
      <c r="E47" t="e">
        <f t="shared" si="9"/>
        <v>#REF!</v>
      </c>
    </row>
    <row r="48" spans="4:5" x14ac:dyDescent="0.3">
      <c r="D48">
        <f t="shared" si="3"/>
        <v>0</v>
      </c>
      <c r="E48" t="e">
        <f t="shared" si="9"/>
        <v>#REF!</v>
      </c>
    </row>
    <row r="49" spans="4:5" x14ac:dyDescent="0.3">
      <c r="D49">
        <f t="shared" si="3"/>
        <v>0</v>
      </c>
    </row>
    <row r="50" spans="4:5" x14ac:dyDescent="0.3">
      <c r="D50">
        <f t="shared" si="3"/>
        <v>0</v>
      </c>
      <c r="E50" t="e">
        <f>GETPIVOTDATA("Type",$A$18,"Team",$A$49,"Type",A50)</f>
        <v>#REF!</v>
      </c>
    </row>
    <row r="51" spans="4:5" x14ac:dyDescent="0.3">
      <c r="D51">
        <f t="shared" si="3"/>
        <v>0</v>
      </c>
      <c r="E51" t="e">
        <f t="shared" ref="E51:E53" si="10">GETPIVOTDATA("Type",$A$18,"Team",$A$49,"Type",A51)</f>
        <v>#REF!</v>
      </c>
    </row>
    <row r="52" spans="4:5" x14ac:dyDescent="0.3">
      <c r="D52">
        <f t="shared" si="3"/>
        <v>0</v>
      </c>
      <c r="E52" t="e">
        <f t="shared" si="10"/>
        <v>#REF!</v>
      </c>
    </row>
    <row r="53" spans="4:5" x14ac:dyDescent="0.3">
      <c r="D53">
        <f t="shared" si="3"/>
        <v>0</v>
      </c>
      <c r="E53" t="e">
        <f t="shared" si="10"/>
        <v>#REF!</v>
      </c>
    </row>
    <row r="54" spans="4:5" x14ac:dyDescent="0.3">
      <c r="D54">
        <f t="shared" si="3"/>
        <v>0</v>
      </c>
    </row>
    <row r="55" spans="4:5" x14ac:dyDescent="0.3">
      <c r="D55">
        <f t="shared" si="3"/>
        <v>0</v>
      </c>
      <c r="E55" t="e">
        <f>GETPIVOTDATA("Type",$A$18,"Team",$A$54,"Type",A55)</f>
        <v>#REF!</v>
      </c>
    </row>
    <row r="56" spans="4:5" x14ac:dyDescent="0.3">
      <c r="D56">
        <f t="shared" si="3"/>
        <v>0</v>
      </c>
      <c r="E56" t="e">
        <f t="shared" ref="E56:E58" si="11">GETPIVOTDATA("Type",$A$18,"Team",$A$54,"Type",A56)</f>
        <v>#REF!</v>
      </c>
    </row>
    <row r="57" spans="4:5" x14ac:dyDescent="0.3">
      <c r="D57">
        <f t="shared" si="3"/>
        <v>0</v>
      </c>
      <c r="E57" t="e">
        <f t="shared" si="11"/>
        <v>#REF!</v>
      </c>
    </row>
    <row r="58" spans="4:5" x14ac:dyDescent="0.3">
      <c r="D58">
        <f t="shared" si="3"/>
        <v>0</v>
      </c>
      <c r="E58" t="e">
        <f t="shared" si="11"/>
        <v>#REF!</v>
      </c>
    </row>
    <row r="59" spans="4:5" x14ac:dyDescent="0.3">
      <c r="D59">
        <f t="shared" si="3"/>
        <v>0</v>
      </c>
    </row>
    <row r="60" spans="4:5" x14ac:dyDescent="0.3">
      <c r="D60">
        <f t="shared" si="3"/>
        <v>0</v>
      </c>
      <c r="E60" t="e">
        <f>GETPIVOTDATA("Type",$A$18,"Team",$A$59,"Type",A60)</f>
        <v>#REF!</v>
      </c>
    </row>
    <row r="61" spans="4:5" x14ac:dyDescent="0.3">
      <c r="D61">
        <f t="shared" si="3"/>
        <v>0</v>
      </c>
      <c r="E61" t="e">
        <f t="shared" ref="E61:E63" si="12">GETPIVOTDATA("Type",$A$18,"Team",$A$59,"Type",A61)</f>
        <v>#REF!</v>
      </c>
    </row>
    <row r="62" spans="4:5" x14ac:dyDescent="0.3">
      <c r="D62">
        <f t="shared" si="3"/>
        <v>0</v>
      </c>
      <c r="E62" t="e">
        <f t="shared" si="12"/>
        <v>#REF!</v>
      </c>
    </row>
    <row r="63" spans="4:5" x14ac:dyDescent="0.3">
      <c r="D63">
        <f t="shared" si="3"/>
        <v>0</v>
      </c>
      <c r="E63" t="e">
        <f t="shared" si="12"/>
        <v>#REF!</v>
      </c>
    </row>
    <row r="64" spans="4:5" x14ac:dyDescent="0.3">
      <c r="D64">
        <f t="shared" si="3"/>
        <v>0</v>
      </c>
    </row>
    <row r="65" spans="4:5" x14ac:dyDescent="0.3">
      <c r="D65">
        <f t="shared" si="3"/>
        <v>0</v>
      </c>
      <c r="E65" t="e">
        <f>GETPIVOTDATA("Type",$A$18,"Team",$A$64,"Type",A65)</f>
        <v>#REF!</v>
      </c>
    </row>
    <row r="66" spans="4:5" x14ac:dyDescent="0.3">
      <c r="D66">
        <f t="shared" si="3"/>
        <v>0</v>
      </c>
      <c r="E66" t="e">
        <f t="shared" ref="E66:E68" si="13">GETPIVOTDATA("Type",$A$18,"Team",$A$64,"Type",A66)</f>
        <v>#REF!</v>
      </c>
    </row>
    <row r="67" spans="4:5" x14ac:dyDescent="0.3">
      <c r="D67">
        <f t="shared" si="3"/>
        <v>0</v>
      </c>
      <c r="E67" t="e">
        <f t="shared" si="13"/>
        <v>#REF!</v>
      </c>
    </row>
    <row r="68" spans="4:5" x14ac:dyDescent="0.3">
      <c r="D68">
        <f t="shared" si="3"/>
        <v>0</v>
      </c>
      <c r="E68" t="e">
        <f t="shared" si="13"/>
        <v>#REF!</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89" zoomScaleNormal="89" workbookViewId="0">
      <selection activeCell="Y22" sqref="Y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IPL_Data</vt:lpstr>
      <vt:lpstr>match played</vt:lpstr>
      <vt:lpstr>6's</vt:lpstr>
      <vt:lpstr>national side</vt:lpstr>
      <vt:lpstr>top 7 wicket taker</vt:lpstr>
      <vt:lpstr>top 7 run getter</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kadam</dc:creator>
  <cp:lastModifiedBy>ASUS</cp:lastModifiedBy>
  <dcterms:created xsi:type="dcterms:W3CDTF">2023-05-16T10:20:31Z</dcterms:created>
  <dcterms:modified xsi:type="dcterms:W3CDTF">2023-05-18T09:05:54Z</dcterms:modified>
</cp:coreProperties>
</file>